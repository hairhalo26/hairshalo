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Vera-Hair-Co-FullStack-Project\vera-full-project\docs\"/>
    </mc:Choice>
  </mc:AlternateContent>
  <xr:revisionPtr revIDLastSave="0" documentId="13_ncr:1_{ED279A5A-B371-42DF-9797-9AFB65653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w to Use" sheetId="1" r:id="rId1"/>
    <sheet name="Products" sheetId="2" r:id="rId2"/>
    <sheet name="Variants" sheetId="3" r:id="rId3"/>
    <sheet name="Lists" sheetId="4" r:id="rId4"/>
    <sheet name="Examp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5" l="1"/>
  <c r="N9" i="5"/>
  <c r="AB4" i="5"/>
  <c r="AC4" i="5" s="1"/>
  <c r="R4" i="5"/>
  <c r="S4" i="5" s="1"/>
  <c r="N8" i="5" s="1"/>
  <c r="N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AC302" i="2"/>
  <c r="AB302" i="2"/>
  <c r="S302" i="2"/>
  <c r="R302" i="2"/>
  <c r="AC301" i="2"/>
  <c r="AB301" i="2"/>
  <c r="S301" i="2"/>
  <c r="R301" i="2"/>
  <c r="AC300" i="2"/>
  <c r="AB300" i="2"/>
  <c r="S300" i="2"/>
  <c r="R300" i="2"/>
  <c r="AC299" i="2"/>
  <c r="AB299" i="2"/>
  <c r="S299" i="2"/>
  <c r="R299" i="2"/>
  <c r="AC298" i="2"/>
  <c r="AB298" i="2"/>
  <c r="S298" i="2"/>
  <c r="R298" i="2"/>
  <c r="AC297" i="2"/>
  <c r="AB297" i="2"/>
  <c r="S297" i="2"/>
  <c r="R297" i="2"/>
  <c r="AC296" i="2"/>
  <c r="AB296" i="2"/>
  <c r="S296" i="2"/>
  <c r="R296" i="2"/>
  <c r="AC295" i="2"/>
  <c r="AB295" i="2"/>
  <c r="S295" i="2"/>
  <c r="R295" i="2"/>
  <c r="AC294" i="2"/>
  <c r="AB294" i="2"/>
  <c r="S294" i="2"/>
  <c r="R294" i="2"/>
  <c r="AC293" i="2"/>
  <c r="AB293" i="2"/>
  <c r="S293" i="2"/>
  <c r="R293" i="2"/>
  <c r="AC292" i="2"/>
  <c r="AB292" i="2"/>
  <c r="S292" i="2"/>
  <c r="R292" i="2"/>
  <c r="AC291" i="2"/>
  <c r="AB291" i="2"/>
  <c r="S291" i="2"/>
  <c r="R291" i="2"/>
  <c r="AC290" i="2"/>
  <c r="AB290" i="2"/>
  <c r="S290" i="2"/>
  <c r="R290" i="2"/>
  <c r="AC289" i="2"/>
  <c r="AB289" i="2"/>
  <c r="S289" i="2"/>
  <c r="R289" i="2"/>
  <c r="AC288" i="2"/>
  <c r="AB288" i="2"/>
  <c r="S288" i="2"/>
  <c r="R288" i="2"/>
  <c r="AC287" i="2"/>
  <c r="AB287" i="2"/>
  <c r="S287" i="2"/>
  <c r="R287" i="2"/>
  <c r="AC286" i="2"/>
  <c r="AB286" i="2"/>
  <c r="S286" i="2"/>
  <c r="R286" i="2"/>
  <c r="AC285" i="2"/>
  <c r="AB285" i="2"/>
  <c r="S285" i="2"/>
  <c r="R285" i="2"/>
  <c r="AC284" i="2"/>
  <c r="AB284" i="2"/>
  <c r="S284" i="2"/>
  <c r="R284" i="2"/>
  <c r="AC283" i="2"/>
  <c r="AB283" i="2"/>
  <c r="S283" i="2"/>
  <c r="R283" i="2"/>
  <c r="AC282" i="2"/>
  <c r="AB282" i="2"/>
  <c r="S282" i="2"/>
  <c r="R282" i="2"/>
  <c r="AC281" i="2"/>
  <c r="AB281" i="2"/>
  <c r="S281" i="2"/>
  <c r="R281" i="2"/>
  <c r="AC280" i="2"/>
  <c r="AB280" i="2"/>
  <c r="S280" i="2"/>
  <c r="R280" i="2"/>
  <c r="AC279" i="2"/>
  <c r="AB279" i="2"/>
  <c r="S279" i="2"/>
  <c r="R279" i="2"/>
  <c r="AC278" i="2"/>
  <c r="AB278" i="2"/>
  <c r="S278" i="2"/>
  <c r="R278" i="2"/>
  <c r="AC277" i="2"/>
  <c r="AB277" i="2"/>
  <c r="S277" i="2"/>
  <c r="R277" i="2"/>
  <c r="AC276" i="2"/>
  <c r="AB276" i="2"/>
  <c r="S276" i="2"/>
  <c r="R276" i="2"/>
  <c r="AC275" i="2"/>
  <c r="AB275" i="2"/>
  <c r="S275" i="2"/>
  <c r="R275" i="2"/>
  <c r="AC274" i="2"/>
  <c r="AB274" i="2"/>
  <c r="S274" i="2"/>
  <c r="R274" i="2"/>
  <c r="AC273" i="2"/>
  <c r="AB273" i="2"/>
  <c r="S273" i="2"/>
  <c r="R273" i="2"/>
  <c r="AC272" i="2"/>
  <c r="AB272" i="2"/>
  <c r="S272" i="2"/>
  <c r="R272" i="2"/>
  <c r="AC271" i="2"/>
  <c r="AB271" i="2"/>
  <c r="S271" i="2"/>
  <c r="R271" i="2"/>
  <c r="AC270" i="2"/>
  <c r="AB270" i="2"/>
  <c r="S270" i="2"/>
  <c r="R270" i="2"/>
  <c r="AC269" i="2"/>
  <c r="AB269" i="2"/>
  <c r="S269" i="2"/>
  <c r="R269" i="2"/>
  <c r="AC268" i="2"/>
  <c r="AB268" i="2"/>
  <c r="S268" i="2"/>
  <c r="R268" i="2"/>
  <c r="AC267" i="2"/>
  <c r="AB267" i="2"/>
  <c r="S267" i="2"/>
  <c r="R267" i="2"/>
  <c r="AC266" i="2"/>
  <c r="AB266" i="2"/>
  <c r="S266" i="2"/>
  <c r="R266" i="2"/>
  <c r="AC265" i="2"/>
  <c r="AB265" i="2"/>
  <c r="S265" i="2"/>
  <c r="R265" i="2"/>
  <c r="AC264" i="2"/>
  <c r="AB264" i="2"/>
  <c r="S264" i="2"/>
  <c r="R264" i="2"/>
  <c r="AC263" i="2"/>
  <c r="AB263" i="2"/>
  <c r="S263" i="2"/>
  <c r="R263" i="2"/>
  <c r="AC262" i="2"/>
  <c r="AB262" i="2"/>
  <c r="S262" i="2"/>
  <c r="R262" i="2"/>
  <c r="AC261" i="2"/>
  <c r="AB261" i="2"/>
  <c r="S261" i="2"/>
  <c r="R261" i="2"/>
  <c r="AC260" i="2"/>
  <c r="AB260" i="2"/>
  <c r="S260" i="2"/>
  <c r="R260" i="2"/>
  <c r="AC259" i="2"/>
  <c r="AB259" i="2"/>
  <c r="S259" i="2"/>
  <c r="R259" i="2"/>
  <c r="AC258" i="2"/>
  <c r="AB258" i="2"/>
  <c r="S258" i="2"/>
  <c r="R258" i="2"/>
  <c r="AC257" i="2"/>
  <c r="AB257" i="2"/>
  <c r="S257" i="2"/>
  <c r="R257" i="2"/>
  <c r="AC256" i="2"/>
  <c r="AB256" i="2"/>
  <c r="S256" i="2"/>
  <c r="R256" i="2"/>
  <c r="AC255" i="2"/>
  <c r="AB255" i="2"/>
  <c r="S255" i="2"/>
  <c r="R255" i="2"/>
  <c r="AC254" i="2"/>
  <c r="AB254" i="2"/>
  <c r="S254" i="2"/>
  <c r="R254" i="2"/>
  <c r="AC253" i="2"/>
  <c r="AB253" i="2"/>
  <c r="S253" i="2"/>
  <c r="R253" i="2"/>
  <c r="AC252" i="2"/>
  <c r="AB252" i="2"/>
  <c r="S252" i="2"/>
  <c r="R252" i="2"/>
  <c r="AC251" i="2"/>
  <c r="AB251" i="2"/>
  <c r="S251" i="2"/>
  <c r="R251" i="2"/>
  <c r="AC250" i="2"/>
  <c r="AB250" i="2"/>
  <c r="S250" i="2"/>
  <c r="R250" i="2"/>
  <c r="AC249" i="2"/>
  <c r="AB249" i="2"/>
  <c r="S249" i="2"/>
  <c r="R249" i="2"/>
  <c r="AC248" i="2"/>
  <c r="AB248" i="2"/>
  <c r="S248" i="2"/>
  <c r="R248" i="2"/>
  <c r="AC247" i="2"/>
  <c r="AB247" i="2"/>
  <c r="S247" i="2"/>
  <c r="R247" i="2"/>
  <c r="AC246" i="2"/>
  <c r="AB246" i="2"/>
  <c r="S246" i="2"/>
  <c r="R246" i="2"/>
  <c r="AC245" i="2"/>
  <c r="AB245" i="2"/>
  <c r="S245" i="2"/>
  <c r="R245" i="2"/>
  <c r="AC244" i="2"/>
  <c r="AB244" i="2"/>
  <c r="S244" i="2"/>
  <c r="R244" i="2"/>
  <c r="AC243" i="2"/>
  <c r="AB243" i="2"/>
  <c r="S243" i="2"/>
  <c r="R243" i="2"/>
  <c r="AC242" i="2"/>
  <c r="AB242" i="2"/>
  <c r="S242" i="2"/>
  <c r="R242" i="2"/>
  <c r="AC241" i="2"/>
  <c r="AB241" i="2"/>
  <c r="S241" i="2"/>
  <c r="R241" i="2"/>
  <c r="AC240" i="2"/>
  <c r="AB240" i="2"/>
  <c r="S240" i="2"/>
  <c r="R240" i="2"/>
  <c r="AC239" i="2"/>
  <c r="AB239" i="2"/>
  <c r="S239" i="2"/>
  <c r="R239" i="2"/>
  <c r="AC238" i="2"/>
  <c r="AB238" i="2"/>
  <c r="S238" i="2"/>
  <c r="R238" i="2"/>
  <c r="AC237" i="2"/>
  <c r="AB237" i="2"/>
  <c r="S237" i="2"/>
  <c r="R237" i="2"/>
  <c r="AC236" i="2"/>
  <c r="AB236" i="2"/>
  <c r="S236" i="2"/>
  <c r="R236" i="2"/>
  <c r="AC235" i="2"/>
  <c r="AB235" i="2"/>
  <c r="S235" i="2"/>
  <c r="R235" i="2"/>
  <c r="AC234" i="2"/>
  <c r="AB234" i="2"/>
  <c r="S234" i="2"/>
  <c r="R234" i="2"/>
  <c r="AC233" i="2"/>
  <c r="AB233" i="2"/>
  <c r="S233" i="2"/>
  <c r="R233" i="2"/>
  <c r="AC232" i="2"/>
  <c r="AB232" i="2"/>
  <c r="S232" i="2"/>
  <c r="R232" i="2"/>
  <c r="AC231" i="2"/>
  <c r="AB231" i="2"/>
  <c r="S231" i="2"/>
  <c r="R231" i="2"/>
  <c r="AC230" i="2"/>
  <c r="AB230" i="2"/>
  <c r="S230" i="2"/>
  <c r="R230" i="2"/>
  <c r="AC229" i="2"/>
  <c r="AB229" i="2"/>
  <c r="S229" i="2"/>
  <c r="R229" i="2"/>
  <c r="AC228" i="2"/>
  <c r="AB228" i="2"/>
  <c r="S228" i="2"/>
  <c r="R228" i="2"/>
  <c r="AC227" i="2"/>
  <c r="AB227" i="2"/>
  <c r="S227" i="2"/>
  <c r="R227" i="2"/>
  <c r="AC226" i="2"/>
  <c r="AB226" i="2"/>
  <c r="S226" i="2"/>
  <c r="R226" i="2"/>
  <c r="AC225" i="2"/>
  <c r="AB225" i="2"/>
  <c r="S225" i="2"/>
  <c r="R225" i="2"/>
  <c r="AC224" i="2"/>
  <c r="AB224" i="2"/>
  <c r="S224" i="2"/>
  <c r="R224" i="2"/>
  <c r="AC223" i="2"/>
  <c r="AB223" i="2"/>
  <c r="S223" i="2"/>
  <c r="R223" i="2"/>
  <c r="AC222" i="2"/>
  <c r="AB222" i="2"/>
  <c r="S222" i="2"/>
  <c r="R222" i="2"/>
  <c r="AC221" i="2"/>
  <c r="AB221" i="2"/>
  <c r="S221" i="2"/>
  <c r="R221" i="2"/>
  <c r="AC220" i="2"/>
  <c r="AB220" i="2"/>
  <c r="S220" i="2"/>
  <c r="R220" i="2"/>
  <c r="AC219" i="2"/>
  <c r="AB219" i="2"/>
  <c r="S219" i="2"/>
  <c r="R219" i="2"/>
  <c r="AC218" i="2"/>
  <c r="AB218" i="2"/>
  <c r="S218" i="2"/>
  <c r="R218" i="2"/>
  <c r="AC217" i="2"/>
  <c r="AB217" i="2"/>
  <c r="S217" i="2"/>
  <c r="R217" i="2"/>
  <c r="AC216" i="2"/>
  <c r="AB216" i="2"/>
  <c r="S216" i="2"/>
  <c r="R216" i="2"/>
  <c r="AC215" i="2"/>
  <c r="AB215" i="2"/>
  <c r="S215" i="2"/>
  <c r="R215" i="2"/>
  <c r="AC214" i="2"/>
  <c r="AB214" i="2"/>
  <c r="S214" i="2"/>
  <c r="R214" i="2"/>
  <c r="AC213" i="2"/>
  <c r="AB213" i="2"/>
  <c r="S213" i="2"/>
  <c r="R213" i="2"/>
  <c r="AC212" i="2"/>
  <c r="AB212" i="2"/>
  <c r="S212" i="2"/>
  <c r="R212" i="2"/>
  <c r="AC211" i="2"/>
  <c r="AB211" i="2"/>
  <c r="S211" i="2"/>
  <c r="R211" i="2"/>
  <c r="AC210" i="2"/>
  <c r="AB210" i="2"/>
  <c r="S210" i="2"/>
  <c r="R210" i="2"/>
  <c r="AC209" i="2"/>
  <c r="AB209" i="2"/>
  <c r="S209" i="2"/>
  <c r="R209" i="2"/>
  <c r="AC208" i="2"/>
  <c r="AB208" i="2"/>
  <c r="S208" i="2"/>
  <c r="R208" i="2"/>
  <c r="AC207" i="2"/>
  <c r="AB207" i="2"/>
  <c r="S207" i="2"/>
  <c r="R207" i="2"/>
  <c r="AC206" i="2"/>
  <c r="AB206" i="2"/>
  <c r="S206" i="2"/>
  <c r="R206" i="2"/>
  <c r="AC205" i="2"/>
  <c r="AB205" i="2"/>
  <c r="S205" i="2"/>
  <c r="R205" i="2"/>
  <c r="AC204" i="2"/>
  <c r="AB204" i="2"/>
  <c r="S204" i="2"/>
  <c r="R204" i="2"/>
  <c r="AC203" i="2"/>
  <c r="AB203" i="2"/>
  <c r="S203" i="2"/>
  <c r="R203" i="2"/>
  <c r="AC202" i="2"/>
  <c r="AB202" i="2"/>
  <c r="S202" i="2"/>
  <c r="R202" i="2"/>
  <c r="AC201" i="2"/>
  <c r="AB201" i="2"/>
  <c r="S201" i="2"/>
  <c r="R201" i="2"/>
  <c r="AC200" i="2"/>
  <c r="AB200" i="2"/>
  <c r="S200" i="2"/>
  <c r="R200" i="2"/>
  <c r="AC199" i="2"/>
  <c r="AB199" i="2"/>
  <c r="S199" i="2"/>
  <c r="R199" i="2"/>
  <c r="AC198" i="2"/>
  <c r="AB198" i="2"/>
  <c r="S198" i="2"/>
  <c r="R198" i="2"/>
  <c r="AC197" i="2"/>
  <c r="AB197" i="2"/>
  <c r="S197" i="2"/>
  <c r="R197" i="2"/>
  <c r="AC196" i="2"/>
  <c r="AB196" i="2"/>
  <c r="S196" i="2"/>
  <c r="R196" i="2"/>
  <c r="AC195" i="2"/>
  <c r="AB195" i="2"/>
  <c r="S195" i="2"/>
  <c r="R195" i="2"/>
  <c r="AC194" i="2"/>
  <c r="AB194" i="2"/>
  <c r="S194" i="2"/>
  <c r="R194" i="2"/>
  <c r="AC193" i="2"/>
  <c r="AB193" i="2"/>
  <c r="S193" i="2"/>
  <c r="R193" i="2"/>
  <c r="AC192" i="2"/>
  <c r="AB192" i="2"/>
  <c r="S192" i="2"/>
  <c r="R192" i="2"/>
  <c r="AC191" i="2"/>
  <c r="AB191" i="2"/>
  <c r="S191" i="2"/>
  <c r="R191" i="2"/>
  <c r="AC190" i="2"/>
  <c r="AB190" i="2"/>
  <c r="S190" i="2"/>
  <c r="R190" i="2"/>
  <c r="AC189" i="2"/>
  <c r="AB189" i="2"/>
  <c r="S189" i="2"/>
  <c r="R189" i="2"/>
  <c r="AC188" i="2"/>
  <c r="AB188" i="2"/>
  <c r="S188" i="2"/>
  <c r="R188" i="2"/>
  <c r="AC187" i="2"/>
  <c r="AB187" i="2"/>
  <c r="S187" i="2"/>
  <c r="R187" i="2"/>
  <c r="AC186" i="2"/>
  <c r="AB186" i="2"/>
  <c r="S186" i="2"/>
  <c r="R186" i="2"/>
  <c r="AC185" i="2"/>
  <c r="AB185" i="2"/>
  <c r="S185" i="2"/>
  <c r="R185" i="2"/>
  <c r="AC184" i="2"/>
  <c r="AB184" i="2"/>
  <c r="S184" i="2"/>
  <c r="R184" i="2"/>
  <c r="AC183" i="2"/>
  <c r="AB183" i="2"/>
  <c r="S183" i="2"/>
  <c r="R183" i="2"/>
  <c r="AC182" i="2"/>
  <c r="AB182" i="2"/>
  <c r="S182" i="2"/>
  <c r="R182" i="2"/>
  <c r="AC181" i="2"/>
  <c r="AB181" i="2"/>
  <c r="S181" i="2"/>
  <c r="R181" i="2"/>
  <c r="AC180" i="2"/>
  <c r="AB180" i="2"/>
  <c r="S180" i="2"/>
  <c r="R180" i="2"/>
  <c r="AC179" i="2"/>
  <c r="AB179" i="2"/>
  <c r="S179" i="2"/>
  <c r="R179" i="2"/>
  <c r="AC178" i="2"/>
  <c r="AB178" i="2"/>
  <c r="S178" i="2"/>
  <c r="R178" i="2"/>
  <c r="AC177" i="2"/>
  <c r="AB177" i="2"/>
  <c r="S177" i="2"/>
  <c r="R177" i="2"/>
  <c r="AC176" i="2"/>
  <c r="AB176" i="2"/>
  <c r="S176" i="2"/>
  <c r="R176" i="2"/>
  <c r="AC175" i="2"/>
  <c r="AB175" i="2"/>
  <c r="S175" i="2"/>
  <c r="R175" i="2"/>
  <c r="AC174" i="2"/>
  <c r="AB174" i="2"/>
  <c r="S174" i="2"/>
  <c r="R174" i="2"/>
  <c r="AC173" i="2"/>
  <c r="AB173" i="2"/>
  <c r="S173" i="2"/>
  <c r="R173" i="2"/>
  <c r="AC172" i="2"/>
  <c r="AB172" i="2"/>
  <c r="S172" i="2"/>
  <c r="R172" i="2"/>
  <c r="AC171" i="2"/>
  <c r="AB171" i="2"/>
  <c r="S171" i="2"/>
  <c r="R171" i="2"/>
  <c r="AC170" i="2"/>
  <c r="AB170" i="2"/>
  <c r="S170" i="2"/>
  <c r="R170" i="2"/>
  <c r="AC169" i="2"/>
  <c r="AB169" i="2"/>
  <c r="S169" i="2"/>
  <c r="R169" i="2"/>
  <c r="AC168" i="2"/>
  <c r="AB168" i="2"/>
  <c r="S168" i="2"/>
  <c r="R168" i="2"/>
  <c r="AC167" i="2"/>
  <c r="AB167" i="2"/>
  <c r="S167" i="2"/>
  <c r="R167" i="2"/>
  <c r="AC166" i="2"/>
  <c r="AB166" i="2"/>
  <c r="S166" i="2"/>
  <c r="R166" i="2"/>
  <c r="AC165" i="2"/>
  <c r="AB165" i="2"/>
  <c r="S165" i="2"/>
  <c r="R165" i="2"/>
  <c r="AC164" i="2"/>
  <c r="AB164" i="2"/>
  <c r="S164" i="2"/>
  <c r="R164" i="2"/>
  <c r="AC163" i="2"/>
  <c r="AB163" i="2"/>
  <c r="S163" i="2"/>
  <c r="R163" i="2"/>
  <c r="AC162" i="2"/>
  <c r="AB162" i="2"/>
  <c r="S162" i="2"/>
  <c r="R162" i="2"/>
  <c r="AC161" i="2"/>
  <c r="AB161" i="2"/>
  <c r="S161" i="2"/>
  <c r="R161" i="2"/>
  <c r="AC160" i="2"/>
  <c r="AB160" i="2"/>
  <c r="S160" i="2"/>
  <c r="R160" i="2"/>
  <c r="AC159" i="2"/>
  <c r="AB159" i="2"/>
  <c r="S159" i="2"/>
  <c r="R159" i="2"/>
  <c r="AC158" i="2"/>
  <c r="AB158" i="2"/>
  <c r="S158" i="2"/>
  <c r="R158" i="2"/>
  <c r="AC157" i="2"/>
  <c r="AB157" i="2"/>
  <c r="S157" i="2"/>
  <c r="R157" i="2"/>
  <c r="AC156" i="2"/>
  <c r="AB156" i="2"/>
  <c r="S156" i="2"/>
  <c r="R156" i="2"/>
  <c r="AC155" i="2"/>
  <c r="AB155" i="2"/>
  <c r="S155" i="2"/>
  <c r="R155" i="2"/>
  <c r="AC154" i="2"/>
  <c r="AB154" i="2"/>
  <c r="S154" i="2"/>
  <c r="R154" i="2"/>
  <c r="AC153" i="2"/>
  <c r="AB153" i="2"/>
  <c r="S153" i="2"/>
  <c r="R153" i="2"/>
  <c r="AC152" i="2"/>
  <c r="AB152" i="2"/>
  <c r="S152" i="2"/>
  <c r="R152" i="2"/>
  <c r="AC151" i="2"/>
  <c r="AB151" i="2"/>
  <c r="S151" i="2"/>
  <c r="R151" i="2"/>
  <c r="AC150" i="2"/>
  <c r="AB150" i="2"/>
  <c r="S150" i="2"/>
  <c r="R150" i="2"/>
  <c r="AC149" i="2"/>
  <c r="AB149" i="2"/>
  <c r="S149" i="2"/>
  <c r="R149" i="2"/>
  <c r="AC148" i="2"/>
  <c r="AB148" i="2"/>
  <c r="S148" i="2"/>
  <c r="R148" i="2"/>
  <c r="AC147" i="2"/>
  <c r="AB147" i="2"/>
  <c r="S147" i="2"/>
  <c r="R147" i="2"/>
  <c r="AC146" i="2"/>
  <c r="AB146" i="2"/>
  <c r="S146" i="2"/>
  <c r="R146" i="2"/>
  <c r="AC145" i="2"/>
  <c r="AB145" i="2"/>
  <c r="S145" i="2"/>
  <c r="R145" i="2"/>
  <c r="AC144" i="2"/>
  <c r="AB144" i="2"/>
  <c r="S144" i="2"/>
  <c r="R144" i="2"/>
  <c r="AC143" i="2"/>
  <c r="AB143" i="2"/>
  <c r="S143" i="2"/>
  <c r="R143" i="2"/>
  <c r="AC142" i="2"/>
  <c r="AB142" i="2"/>
  <c r="S142" i="2"/>
  <c r="R142" i="2"/>
  <c r="AC141" i="2"/>
  <c r="AB141" i="2"/>
  <c r="S141" i="2"/>
  <c r="R141" i="2"/>
  <c r="AC140" i="2"/>
  <c r="AB140" i="2"/>
  <c r="S140" i="2"/>
  <c r="R140" i="2"/>
  <c r="AC139" i="2"/>
  <c r="AB139" i="2"/>
  <c r="S139" i="2"/>
  <c r="R139" i="2"/>
  <c r="AC138" i="2"/>
  <c r="AB138" i="2"/>
  <c r="S138" i="2"/>
  <c r="R138" i="2"/>
  <c r="AC137" i="2"/>
  <c r="AB137" i="2"/>
  <c r="S137" i="2"/>
  <c r="R137" i="2"/>
  <c r="AC136" i="2"/>
  <c r="AB136" i="2"/>
  <c r="S136" i="2"/>
  <c r="R136" i="2"/>
  <c r="AC135" i="2"/>
  <c r="AB135" i="2"/>
  <c r="S135" i="2"/>
  <c r="R135" i="2"/>
  <c r="AC134" i="2"/>
  <c r="AB134" i="2"/>
  <c r="S134" i="2"/>
  <c r="R134" i="2"/>
  <c r="AC133" i="2"/>
  <c r="AB133" i="2"/>
  <c r="S133" i="2"/>
  <c r="R133" i="2"/>
  <c r="AC132" i="2"/>
  <c r="AB132" i="2"/>
  <c r="S132" i="2"/>
  <c r="R132" i="2"/>
  <c r="AC131" i="2"/>
  <c r="AB131" i="2"/>
  <c r="S131" i="2"/>
  <c r="R131" i="2"/>
  <c r="AC130" i="2"/>
  <c r="AB130" i="2"/>
  <c r="S130" i="2"/>
  <c r="R130" i="2"/>
  <c r="AC129" i="2"/>
  <c r="AB129" i="2"/>
  <c r="S129" i="2"/>
  <c r="R129" i="2"/>
  <c r="AC128" i="2"/>
  <c r="AB128" i="2"/>
  <c r="S128" i="2"/>
  <c r="R128" i="2"/>
  <c r="AC127" i="2"/>
  <c r="AB127" i="2"/>
  <c r="S127" i="2"/>
  <c r="R127" i="2"/>
  <c r="AC126" i="2"/>
  <c r="AB126" i="2"/>
  <c r="S126" i="2"/>
  <c r="R126" i="2"/>
  <c r="AC125" i="2"/>
  <c r="AB125" i="2"/>
  <c r="S125" i="2"/>
  <c r="R125" i="2"/>
  <c r="AC124" i="2"/>
  <c r="AB124" i="2"/>
  <c r="S124" i="2"/>
  <c r="R124" i="2"/>
  <c r="AC123" i="2"/>
  <c r="AB123" i="2"/>
  <c r="S123" i="2"/>
  <c r="R123" i="2"/>
  <c r="AC122" i="2"/>
  <c r="AB122" i="2"/>
  <c r="S122" i="2"/>
  <c r="R122" i="2"/>
  <c r="AC121" i="2"/>
  <c r="AB121" i="2"/>
  <c r="S121" i="2"/>
  <c r="R121" i="2"/>
  <c r="AC120" i="2"/>
  <c r="AB120" i="2"/>
  <c r="S120" i="2"/>
  <c r="R120" i="2"/>
  <c r="AC119" i="2"/>
  <c r="AB119" i="2"/>
  <c r="S119" i="2"/>
  <c r="R119" i="2"/>
  <c r="AC118" i="2"/>
  <c r="AB118" i="2"/>
  <c r="S118" i="2"/>
  <c r="R118" i="2"/>
  <c r="AC117" i="2"/>
  <c r="AB117" i="2"/>
  <c r="S117" i="2"/>
  <c r="R117" i="2"/>
  <c r="AC116" i="2"/>
  <c r="AB116" i="2"/>
  <c r="S116" i="2"/>
  <c r="R116" i="2"/>
  <c r="AC115" i="2"/>
  <c r="AB115" i="2"/>
  <c r="S115" i="2"/>
  <c r="R115" i="2"/>
  <c r="AC114" i="2"/>
  <c r="AB114" i="2"/>
  <c r="S114" i="2"/>
  <c r="R114" i="2"/>
  <c r="AC113" i="2"/>
  <c r="AB113" i="2"/>
  <c r="S113" i="2"/>
  <c r="R113" i="2"/>
  <c r="AC112" i="2"/>
  <c r="AB112" i="2"/>
  <c r="S112" i="2"/>
  <c r="R112" i="2"/>
  <c r="AC111" i="2"/>
  <c r="AB111" i="2"/>
  <c r="S111" i="2"/>
  <c r="R111" i="2"/>
  <c r="AC110" i="2"/>
  <c r="AB110" i="2"/>
  <c r="S110" i="2"/>
  <c r="R110" i="2"/>
  <c r="AC109" i="2"/>
  <c r="AB109" i="2"/>
  <c r="S109" i="2"/>
  <c r="R109" i="2"/>
  <c r="AC108" i="2"/>
  <c r="AB108" i="2"/>
  <c r="S108" i="2"/>
  <c r="R108" i="2"/>
  <c r="AC107" i="2"/>
  <c r="AB107" i="2"/>
  <c r="S107" i="2"/>
  <c r="R107" i="2"/>
  <c r="AC106" i="2"/>
  <c r="AB106" i="2"/>
  <c r="S106" i="2"/>
  <c r="R106" i="2"/>
  <c r="AC105" i="2"/>
  <c r="AB105" i="2"/>
  <c r="S105" i="2"/>
  <c r="R105" i="2"/>
  <c r="AC104" i="2"/>
  <c r="AB104" i="2"/>
  <c r="S104" i="2"/>
  <c r="R104" i="2"/>
  <c r="AC103" i="2"/>
  <c r="AB103" i="2"/>
  <c r="S103" i="2"/>
  <c r="R103" i="2"/>
  <c r="AC102" i="2"/>
  <c r="AB102" i="2"/>
  <c r="S102" i="2"/>
  <c r="R102" i="2"/>
  <c r="AC101" i="2"/>
  <c r="AB101" i="2"/>
  <c r="S101" i="2"/>
  <c r="R101" i="2"/>
  <c r="AC100" i="2"/>
  <c r="AB100" i="2"/>
  <c r="S100" i="2"/>
  <c r="R100" i="2"/>
  <c r="AC99" i="2"/>
  <c r="AB99" i="2"/>
  <c r="S99" i="2"/>
  <c r="R99" i="2"/>
  <c r="AC98" i="2"/>
  <c r="AB98" i="2"/>
  <c r="S98" i="2"/>
  <c r="R98" i="2"/>
  <c r="AC97" i="2"/>
  <c r="AB97" i="2"/>
  <c r="S97" i="2"/>
  <c r="R97" i="2"/>
  <c r="AC96" i="2"/>
  <c r="AB96" i="2"/>
  <c r="S96" i="2"/>
  <c r="R96" i="2"/>
  <c r="AC95" i="2"/>
  <c r="AB95" i="2"/>
  <c r="S95" i="2"/>
  <c r="R95" i="2"/>
  <c r="AC94" i="2"/>
  <c r="AB94" i="2"/>
  <c r="S94" i="2"/>
  <c r="R94" i="2"/>
  <c r="AC93" i="2"/>
  <c r="AB93" i="2"/>
  <c r="S93" i="2"/>
  <c r="R93" i="2"/>
  <c r="AC92" i="2"/>
  <c r="AB92" i="2"/>
  <c r="S92" i="2"/>
  <c r="R92" i="2"/>
  <c r="AC91" i="2"/>
  <c r="AB91" i="2"/>
  <c r="S91" i="2"/>
  <c r="R91" i="2"/>
  <c r="AC90" i="2"/>
  <c r="AB90" i="2"/>
  <c r="S90" i="2"/>
  <c r="R90" i="2"/>
  <c r="AC89" i="2"/>
  <c r="AB89" i="2"/>
  <c r="S89" i="2"/>
  <c r="R89" i="2"/>
  <c r="AC88" i="2"/>
  <c r="AB88" i="2"/>
  <c r="S88" i="2"/>
  <c r="R88" i="2"/>
  <c r="AC87" i="2"/>
  <c r="AB87" i="2"/>
  <c r="S87" i="2"/>
  <c r="R87" i="2"/>
  <c r="AC86" i="2"/>
  <c r="AB86" i="2"/>
  <c r="S86" i="2"/>
  <c r="R86" i="2"/>
  <c r="AC85" i="2"/>
  <c r="AB85" i="2"/>
  <c r="S85" i="2"/>
  <c r="R85" i="2"/>
  <c r="AC84" i="2"/>
  <c r="AB84" i="2"/>
  <c r="S84" i="2"/>
  <c r="R84" i="2"/>
  <c r="AC83" i="2"/>
  <c r="AB83" i="2"/>
  <c r="S83" i="2"/>
  <c r="R83" i="2"/>
  <c r="AC82" i="2"/>
  <c r="AB82" i="2"/>
  <c r="S82" i="2"/>
  <c r="R82" i="2"/>
  <c r="AC81" i="2"/>
  <c r="AB81" i="2"/>
  <c r="S81" i="2"/>
  <c r="R81" i="2"/>
  <c r="AC80" i="2"/>
  <c r="AB80" i="2"/>
  <c r="S80" i="2"/>
  <c r="R80" i="2"/>
  <c r="AC79" i="2"/>
  <c r="AB79" i="2"/>
  <c r="S79" i="2"/>
  <c r="R79" i="2"/>
  <c r="AC78" i="2"/>
  <c r="AB78" i="2"/>
  <c r="S78" i="2"/>
  <c r="R78" i="2"/>
  <c r="AC77" i="2"/>
  <c r="AB77" i="2"/>
  <c r="S77" i="2"/>
  <c r="R77" i="2"/>
  <c r="AC76" i="2"/>
  <c r="AB76" i="2"/>
  <c r="S76" i="2"/>
  <c r="R76" i="2"/>
  <c r="AC75" i="2"/>
  <c r="AB75" i="2"/>
  <c r="S75" i="2"/>
  <c r="R75" i="2"/>
  <c r="AC74" i="2"/>
  <c r="AB74" i="2"/>
  <c r="S74" i="2"/>
  <c r="R74" i="2"/>
  <c r="AC73" i="2"/>
  <c r="AB73" i="2"/>
  <c r="S73" i="2"/>
  <c r="R73" i="2"/>
  <c r="AC72" i="2"/>
  <c r="AB72" i="2"/>
  <c r="S72" i="2"/>
  <c r="R72" i="2"/>
  <c r="AC71" i="2"/>
  <c r="AB71" i="2"/>
  <c r="S71" i="2"/>
  <c r="R71" i="2"/>
  <c r="AC70" i="2"/>
  <c r="AB70" i="2"/>
  <c r="S70" i="2"/>
  <c r="R70" i="2"/>
  <c r="AC69" i="2"/>
  <c r="AB69" i="2"/>
  <c r="S69" i="2"/>
  <c r="R69" i="2"/>
  <c r="AC68" i="2"/>
  <c r="AB68" i="2"/>
  <c r="S68" i="2"/>
  <c r="R68" i="2"/>
  <c r="AC67" i="2"/>
  <c r="AB67" i="2"/>
  <c r="S67" i="2"/>
  <c r="R67" i="2"/>
  <c r="AC66" i="2"/>
  <c r="AB66" i="2"/>
  <c r="S66" i="2"/>
  <c r="R66" i="2"/>
  <c r="AC65" i="2"/>
  <c r="AB65" i="2"/>
  <c r="S65" i="2"/>
  <c r="R65" i="2"/>
  <c r="AC64" i="2"/>
  <c r="AB64" i="2"/>
  <c r="S64" i="2"/>
  <c r="R64" i="2"/>
  <c r="AC63" i="2"/>
  <c r="AB63" i="2"/>
  <c r="S63" i="2"/>
  <c r="R63" i="2"/>
  <c r="AC62" i="2"/>
  <c r="AB62" i="2"/>
  <c r="S62" i="2"/>
  <c r="R62" i="2"/>
  <c r="AC61" i="2"/>
  <c r="AB61" i="2"/>
  <c r="S61" i="2"/>
  <c r="R61" i="2"/>
  <c r="AC60" i="2"/>
  <c r="AB60" i="2"/>
  <c r="S60" i="2"/>
  <c r="R60" i="2"/>
  <c r="AC59" i="2"/>
  <c r="AB59" i="2"/>
  <c r="S59" i="2"/>
  <c r="R59" i="2"/>
  <c r="AC58" i="2"/>
  <c r="AB58" i="2"/>
  <c r="S58" i="2"/>
  <c r="R58" i="2"/>
  <c r="AC57" i="2"/>
  <c r="AB57" i="2"/>
  <c r="S57" i="2"/>
  <c r="R57" i="2"/>
  <c r="AC56" i="2"/>
  <c r="AB56" i="2"/>
  <c r="S56" i="2"/>
  <c r="R56" i="2"/>
  <c r="AC55" i="2"/>
  <c r="AB55" i="2"/>
  <c r="S55" i="2"/>
  <c r="R55" i="2"/>
  <c r="AC54" i="2"/>
  <c r="AB54" i="2"/>
  <c r="S54" i="2"/>
  <c r="R54" i="2"/>
  <c r="AC53" i="2"/>
  <c r="AB53" i="2"/>
  <c r="S53" i="2"/>
  <c r="R53" i="2"/>
  <c r="AC52" i="2"/>
  <c r="AB52" i="2"/>
  <c r="S52" i="2"/>
  <c r="R52" i="2"/>
  <c r="AC51" i="2"/>
  <c r="AB51" i="2"/>
  <c r="S51" i="2"/>
  <c r="R51" i="2"/>
  <c r="AC50" i="2"/>
  <c r="AB50" i="2"/>
  <c r="S50" i="2"/>
  <c r="R50" i="2"/>
  <c r="AC49" i="2"/>
  <c r="AB49" i="2"/>
  <c r="S49" i="2"/>
  <c r="R49" i="2"/>
  <c r="AC48" i="2"/>
  <c r="AB48" i="2"/>
  <c r="S48" i="2"/>
  <c r="R48" i="2"/>
  <c r="AC47" i="2"/>
  <c r="AB47" i="2"/>
  <c r="S47" i="2"/>
  <c r="R47" i="2"/>
  <c r="AC46" i="2"/>
  <c r="AB46" i="2"/>
  <c r="S46" i="2"/>
  <c r="R46" i="2"/>
  <c r="AC45" i="2"/>
  <c r="AB45" i="2"/>
  <c r="S45" i="2"/>
  <c r="R45" i="2"/>
  <c r="AC44" i="2"/>
  <c r="AB44" i="2"/>
  <c r="S44" i="2"/>
  <c r="R44" i="2"/>
  <c r="AC43" i="2"/>
  <c r="AB43" i="2"/>
  <c r="S43" i="2"/>
  <c r="R43" i="2"/>
  <c r="AC42" i="2"/>
  <c r="AB42" i="2"/>
  <c r="S42" i="2"/>
  <c r="R42" i="2"/>
  <c r="AC41" i="2"/>
  <c r="AB41" i="2"/>
  <c r="S41" i="2"/>
  <c r="R41" i="2"/>
  <c r="AC40" i="2"/>
  <c r="AB40" i="2"/>
  <c r="S40" i="2"/>
  <c r="R40" i="2"/>
  <c r="AC39" i="2"/>
  <c r="AB39" i="2"/>
  <c r="S39" i="2"/>
  <c r="R39" i="2"/>
  <c r="AC38" i="2"/>
  <c r="AB38" i="2"/>
  <c r="S38" i="2"/>
  <c r="R38" i="2"/>
  <c r="AC37" i="2"/>
  <c r="AB37" i="2"/>
  <c r="S37" i="2"/>
  <c r="R37" i="2"/>
  <c r="AC36" i="2"/>
  <c r="AB36" i="2"/>
  <c r="S36" i="2"/>
  <c r="R36" i="2"/>
  <c r="AC35" i="2"/>
  <c r="AB35" i="2"/>
  <c r="S35" i="2"/>
  <c r="R35" i="2"/>
  <c r="AC34" i="2"/>
  <c r="AB34" i="2"/>
  <c r="S34" i="2"/>
  <c r="R34" i="2"/>
  <c r="AC33" i="2"/>
  <c r="AB33" i="2"/>
  <c r="S33" i="2"/>
  <c r="R33" i="2"/>
  <c r="AC32" i="2"/>
  <c r="AB32" i="2"/>
  <c r="S32" i="2"/>
  <c r="R32" i="2"/>
  <c r="AC31" i="2"/>
  <c r="AB31" i="2"/>
  <c r="S31" i="2"/>
  <c r="R31" i="2"/>
  <c r="AC30" i="2"/>
  <c r="AB30" i="2"/>
  <c r="S30" i="2"/>
  <c r="R30" i="2"/>
  <c r="AC29" i="2"/>
  <c r="AB29" i="2"/>
  <c r="S29" i="2"/>
  <c r="R29" i="2"/>
  <c r="AC28" i="2"/>
  <c r="AB28" i="2"/>
  <c r="S28" i="2"/>
  <c r="R28" i="2"/>
  <c r="AC27" i="2"/>
  <c r="AB27" i="2"/>
  <c r="S27" i="2"/>
  <c r="R27" i="2"/>
  <c r="AC26" i="2"/>
  <c r="AB26" i="2"/>
  <c r="S26" i="2"/>
  <c r="R26" i="2"/>
  <c r="AC25" i="2"/>
  <c r="AB25" i="2"/>
  <c r="S25" i="2"/>
  <c r="R25" i="2"/>
  <c r="AC24" i="2"/>
  <c r="AB24" i="2"/>
  <c r="S24" i="2"/>
  <c r="R24" i="2"/>
  <c r="AC23" i="2"/>
  <c r="AB23" i="2"/>
  <c r="S23" i="2"/>
  <c r="R23" i="2"/>
  <c r="AC22" i="2"/>
  <c r="AB22" i="2"/>
  <c r="S22" i="2"/>
  <c r="R22" i="2"/>
  <c r="AC21" i="2"/>
  <c r="AB21" i="2"/>
  <c r="S21" i="2"/>
  <c r="R21" i="2"/>
  <c r="AC20" i="2"/>
  <c r="AB20" i="2"/>
  <c r="S20" i="2"/>
  <c r="R20" i="2"/>
  <c r="AC19" i="2"/>
  <c r="AB19" i="2"/>
  <c r="S19" i="2"/>
  <c r="R19" i="2"/>
  <c r="AC18" i="2"/>
  <c r="AB18" i="2"/>
  <c r="S18" i="2"/>
  <c r="R18" i="2"/>
  <c r="AC17" i="2"/>
  <c r="AB17" i="2"/>
  <c r="S17" i="2"/>
  <c r="R17" i="2"/>
  <c r="AC16" i="2"/>
  <c r="AB16" i="2"/>
  <c r="S16" i="2"/>
  <c r="R16" i="2"/>
  <c r="AC15" i="2"/>
  <c r="AB15" i="2"/>
  <c r="S15" i="2"/>
  <c r="R15" i="2"/>
  <c r="AC14" i="2"/>
  <c r="AB14" i="2"/>
  <c r="S14" i="2"/>
  <c r="R14" i="2"/>
  <c r="AC13" i="2"/>
  <c r="AB13" i="2"/>
  <c r="S13" i="2"/>
  <c r="R13" i="2"/>
  <c r="AC12" i="2"/>
  <c r="AB12" i="2"/>
  <c r="S12" i="2"/>
  <c r="R12" i="2"/>
  <c r="AC11" i="2"/>
  <c r="AB11" i="2"/>
  <c r="S11" i="2"/>
  <c r="R11" i="2"/>
  <c r="AC10" i="2"/>
  <c r="AB10" i="2"/>
  <c r="S10" i="2"/>
  <c r="R10" i="2"/>
  <c r="AC9" i="2"/>
  <c r="AB9" i="2"/>
  <c r="S9" i="2"/>
  <c r="R9" i="2"/>
  <c r="AC8" i="2"/>
  <c r="AB8" i="2"/>
  <c r="S8" i="2"/>
  <c r="R8" i="2"/>
  <c r="AC7" i="2"/>
  <c r="AB7" i="2"/>
  <c r="S7" i="2"/>
  <c r="R7" i="2"/>
  <c r="AC6" i="2"/>
  <c r="AB6" i="2"/>
  <c r="S6" i="2"/>
  <c r="R6" i="2"/>
  <c r="AC5" i="2"/>
  <c r="AB5" i="2"/>
  <c r="S5" i="2"/>
  <c r="R5" i="2"/>
  <c r="AC4" i="2"/>
  <c r="AB4" i="2"/>
  <c r="S4" i="2"/>
  <c r="R4" i="2"/>
  <c r="AC3" i="2"/>
  <c r="AB3" i="2"/>
  <c r="S3" i="2"/>
  <c r="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Hairshalo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Required. Must be unique - the Variants sheet links to products by this exact name.</t>
        </r>
      </text>
    </comment>
    <comment ref="B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 to publish. Pick from the list (your store's categories) or type a new one - create it in the form with '+ New'.</t>
        </r>
      </text>
    </comment>
    <comment ref="C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e.g. Hairshalo Signature.</t>
        </r>
      </text>
    </comment>
    <comment ref="D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Shown on product cards. One or two sentences.</t>
        </r>
      </text>
    </comment>
    <comment ref="E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Shown on the product page. Needed to publish (can be overridden, but shouldn't be).</t>
        </r>
      </text>
    </comment>
    <comment ref="F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Human Hair / Synthetic / Human Hair Blend, or type your own.</t>
        </r>
      </text>
    </comment>
    <comment ref="G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Straight, Body Wave, Wavy, Curly, Kinky Straight, Deep Wave, Afro...</t>
        </r>
      </text>
    </comment>
    <comment ref="H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Lace Front, Lace Frontal, Full Lace, 360 Lace, Closure, Glueless Cap...</t>
        </r>
      </text>
    </comment>
    <comment ref="I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Wig, Clip-in Extensions, Ponytail... (max 120 characters).</t>
        </r>
      </text>
    </comment>
    <comment ref="J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e.g. 120g (max 60 characters).</t>
        </r>
      </text>
    </comment>
    <comment ref="K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e.g. Up to 180°C.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One per line (Alt+Enter inside the cell).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One per line (Alt+Enter inside the cell).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Washing, styling and storage advice.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Required. The full price before discount, in rupees. Variants without their own price use this product's selling price.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No discount / Percentage / Fixed amount.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Percentage: 0-100 (e.g. 10 = 10% off). Fixed amount: rupees off, not more than the original price.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Calculated - do not type here.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Calculated - what the customer pays. The server recalculates this on save.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Photo file names, first one = main image. Separate with | . JPG, PNG or WEBP up to 8 MB each. Upload them in the form after saving the product.</t>
        </r>
      </text>
    </comment>
    <comment ref="U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Optional. MP4 or WEBM up to 64 MB.</t>
        </r>
      </text>
    </comment>
    <comment ref="V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None, New, Bestseller, Featured, Limited or Sale.</t>
        </r>
      </text>
    </comment>
    <comment ref="W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Whole number; lower numbers show first. Default 0.</t>
        </r>
      </text>
    </comment>
    <comment ref="X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Yes / No.</t>
        </r>
      </text>
    </comment>
    <comment ref="Y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Yes / No.</t>
        </r>
      </text>
    </comment>
    <comment ref="Z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Yes / No.</t>
        </r>
      </text>
    </comment>
    <comment ref="AA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Draft, Review, Published or Archived. Default Draft.</t>
        </r>
      </text>
    </comment>
    <comment ref="AB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Calculated - number of rows for this product on the Variants sheet. At least 1 is needed to publish.</t>
        </r>
      </text>
    </comment>
    <comment ref="AC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Calculated - lists anything still missing before this product can be published.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Hairshalo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Required. Pick the product from the list - must match a name on the Products sheet exactly.</t>
        </r>
      </text>
    </comment>
    <comment ref="B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Required and unique across the store, e.g. VR-HD-16-NB. Letters, digits, - _ . / only.</t>
        </r>
      </text>
    </comment>
    <comment ref="C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e.g. 16"</t>
        </r>
      </text>
    </comment>
    <comment ref="D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e.g. 180%</t>
        </r>
      </text>
    </comment>
    <comment ref="E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e.g. Natural Black, 1B, 613</t>
        </r>
      </text>
    </comment>
    <comment ref="F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e.g. HD Lace</t>
        </r>
      </text>
    </comment>
    <comment ref="G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e.g. Medium</t>
        </r>
      </text>
    </comment>
    <comment ref="H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Required. Units you have now (whole number). Default 0.</t>
        </r>
      </text>
    </comment>
    <comment ref="I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Warn when stock falls to this number. Blank = shop default.</t>
        </r>
      </text>
    </comment>
    <comment ref="J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Yes / No. Default Yes.</t>
        </r>
      </text>
    </comment>
    <comment ref="K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Leave BLANK to use the product's selling price. Fill in only if this variant costs more or less.</t>
        </r>
      </text>
    </comment>
    <comment ref="L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Only applies when there is a price override. None / Percentage / Fixed amount.</t>
        </r>
      </text>
    </comment>
    <comment ref="M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Percentage 0-100, or rupees off.</t>
        </r>
      </text>
    </comment>
    <comment ref="N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Calculated - what the customer pays for this variant.</t>
        </r>
      </text>
    </comment>
    <comment ref="O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Optional photos just for this colour/variant. Separate with | .</t>
        </r>
      </text>
    </comment>
  </commentList>
</comments>
</file>

<file path=xl/sharedStrings.xml><?xml version="1.0" encoding="utf-8"?>
<sst xmlns="http://schemas.openxmlformats.org/spreadsheetml/2006/main" count="254" uniqueCount="178">
  <si>
    <t>Hairshalo - Add Product sheet</t>
  </si>
  <si>
    <t>The same fields as Admin Panel → Products → Add Product, laid out so you can prepare products before entering them.</t>
  </si>
  <si>
    <t>Sheets in this workbook</t>
  </si>
  <si>
    <t>Products</t>
  </si>
  <si>
    <t>One row per product: form sections 1 Basic Information, 2 Pricing &amp; Discount, 4 Images &amp; Video, 5 Merchandising, 6 Publishing.</t>
  </si>
  <si>
    <t>Variants</t>
  </si>
  <si>
    <t>One row per variant (form section 3). Every product needs at least one variant - even a one-size product.</t>
  </si>
  <si>
    <t>Example</t>
  </si>
  <si>
    <t>A filled-in product with three variants, showing the expected format.</t>
  </si>
  <si>
    <t>Lists</t>
  </si>
  <si>
    <t>Values used by the dropdowns. Add your own categories to the Category column.</t>
  </si>
  <si>
    <t>Colour key</t>
  </si>
  <si>
    <t>Required *</t>
  </si>
  <si>
    <t>Needed to save or publish the product.</t>
  </si>
  <si>
    <t>Recommended</t>
  </si>
  <si>
    <t>Fill in wherever you can - it helps customers buy.</t>
  </si>
  <si>
    <t>Optional</t>
  </si>
  <si>
    <t>Nice to have.</t>
  </si>
  <si>
    <t>Calculated</t>
  </si>
  <si>
    <t>Formulas - don't type here. They show the selling price and what is missing.</t>
  </si>
  <si>
    <t>Blue text</t>
  </si>
  <si>
    <t>Values you type in (inputs).</t>
  </si>
  <si>
    <t>To publish, a product needs</t>
  </si>
  <si>
    <t>A category</t>
  </si>
  <si>
    <t>Hard rule - can't publish without it.</t>
  </si>
  <si>
    <t>A price</t>
  </si>
  <si>
    <t>Hard rule - an Original Price, or a Price Override on at least one variant.</t>
  </si>
  <si>
    <t>At least one variant</t>
  </si>
  <si>
    <t>Hard rule - with a SKU and stock.</t>
  </si>
  <si>
    <t>A description</t>
  </si>
  <si>
    <t>Checked on publish; can only be skipped by forcing it.</t>
  </si>
  <si>
    <t>A main image</t>
  </si>
  <si>
    <t>The 'Ready to Publish?' column on the Products sheet checks all of these for you.</t>
  </si>
  <si>
    <t>Pricing rules (all prices in ₹)</t>
  </si>
  <si>
    <t>Selling price</t>
  </si>
  <si>
    <t>Original Price minus the discount. The server recalculates it when you save.</t>
  </si>
  <si>
    <t>Percentage discount</t>
  </si>
  <si>
    <t>0 to 100. 10 means 10% off.</t>
  </si>
  <si>
    <t>Fixed discount</t>
  </si>
  <si>
    <t>Rupees off - can't be more than the original price.</t>
  </si>
  <si>
    <t>Variant prices</t>
  </si>
  <si>
    <t>Leave Price Override blank and the variant sells at the product's selling price. A variant discount only applies when the variant has its own Price Override.</t>
  </si>
  <si>
    <t>Entering it in the Admin Panel</t>
  </si>
  <si>
    <t>1</t>
  </si>
  <si>
    <t>Products → Add Product. Type the Products-sheet row into sections 1, 2, 5 and 6.</t>
  </si>
  <si>
    <t>2</t>
  </si>
  <si>
    <t>Section 3: click '+ Add Variant' once for each Variants-sheet row of that product.</t>
  </si>
  <si>
    <t>3</t>
  </si>
  <si>
    <t>Save Draft first - images and video can only be uploaded after the product is saved.</t>
  </si>
  <si>
    <t>4</t>
  </si>
  <si>
    <t>Section 4: upload the photos named in the Images column (first one = main image).</t>
  </si>
  <si>
    <t>5</t>
  </si>
  <si>
    <t>Check the readiness hint, then Publish Product.</t>
  </si>
  <si>
    <t>1 · Basic Information</t>
  </si>
  <si>
    <t>2 · Pricing &amp; Discount</t>
  </si>
  <si>
    <t>4 · Images &amp; Video</t>
  </si>
  <si>
    <t>5 · Merchandising</t>
  </si>
  <si>
    <t>6 · Publishing</t>
  </si>
  <si>
    <t>Checks (automatic)</t>
  </si>
  <si>
    <t>Product Name *</t>
  </si>
  <si>
    <t>Category *</t>
  </si>
  <si>
    <t>Brand</t>
  </si>
  <si>
    <t>Short Description</t>
  </si>
  <si>
    <t>Full Description *</t>
  </si>
  <si>
    <t>Hair Type</t>
  </si>
  <si>
    <t>Texture</t>
  </si>
  <si>
    <t>Construction</t>
  </si>
  <si>
    <t>Product Type</t>
  </si>
  <si>
    <t>Weight</t>
  </si>
  <si>
    <t>Heat Resistance</t>
  </si>
  <si>
    <t>Features</t>
  </si>
  <si>
    <t>Benefits</t>
  </si>
  <si>
    <t>Care Instructions</t>
  </si>
  <si>
    <t>Original Price (₹) *</t>
  </si>
  <si>
    <t>Discount Type</t>
  </si>
  <si>
    <t>Discount Value</t>
  </si>
  <si>
    <t>Discount (₹)</t>
  </si>
  <si>
    <t>Selling Price (₹)</t>
  </si>
  <si>
    <t>Images (file names) *</t>
  </si>
  <si>
    <t>Video (file name)</t>
  </si>
  <si>
    <t>Badge</t>
  </si>
  <si>
    <t>Sort Order</t>
  </si>
  <si>
    <t>Featured</t>
  </si>
  <si>
    <t>Bestseller</t>
  </si>
  <si>
    <t>New Arrival</t>
  </si>
  <si>
    <t>Status</t>
  </si>
  <si>
    <t>Ready to Publish?</t>
  </si>
  <si>
    <t>3 · Variants</t>
  </si>
  <si>
    <t>Stock &amp; availability</t>
  </si>
  <si>
    <t>Pricing</t>
  </si>
  <si>
    <t>Photos</t>
  </si>
  <si>
    <t>SKU *</t>
  </si>
  <si>
    <t>Length</t>
  </si>
  <si>
    <t>Density</t>
  </si>
  <si>
    <t>Colour</t>
  </si>
  <si>
    <t>Lace Type</t>
  </si>
  <si>
    <t>Cap Size</t>
  </si>
  <si>
    <t>Stock *</t>
  </si>
  <si>
    <t>Low-stock Alert At</t>
  </si>
  <si>
    <t>Available</t>
  </si>
  <si>
    <t>Price Override (₹)</t>
  </si>
  <si>
    <t>Variant Discount Type</t>
  </si>
  <si>
    <t>Variant Discount Value</t>
  </si>
  <si>
    <t>Variant Photos (file names)</t>
  </si>
  <si>
    <t>Category</t>
  </si>
  <si>
    <t>Yes/No</t>
  </si>
  <si>
    <t>Category list = the demo store's categories. Replace or extend it with your live categories (keep them in column A).</t>
  </si>
  <si>
    <t>Frontal Wigs</t>
  </si>
  <si>
    <t>Human Hair</t>
  </si>
  <si>
    <t>Straight</t>
  </si>
  <si>
    <t>Lace Frontal</t>
  </si>
  <si>
    <t>No discount</t>
  </si>
  <si>
    <t>None</t>
  </si>
  <si>
    <t>Yes</t>
  </si>
  <si>
    <t>Draft</t>
  </si>
  <si>
    <t>Closure Wigs</t>
  </si>
  <si>
    <t>Synthetic</t>
  </si>
  <si>
    <t>Body Wave</t>
  </si>
  <si>
    <t>Lace Front</t>
  </si>
  <si>
    <t>Percentage</t>
  </si>
  <si>
    <t>New</t>
  </si>
  <si>
    <t>No</t>
  </si>
  <si>
    <t>Review</t>
  </si>
  <si>
    <t>Glueless Wigs</t>
  </si>
  <si>
    <t>Human Hair Blend</t>
  </si>
  <si>
    <t>Wavy</t>
  </si>
  <si>
    <t>Full Lace</t>
  </si>
  <si>
    <t>Fixed amount</t>
  </si>
  <si>
    <t>Published</t>
  </si>
  <si>
    <t>Toppers</t>
  </si>
  <si>
    <t>Curly</t>
  </si>
  <si>
    <t>360 Lace</t>
  </si>
  <si>
    <t>Archived</t>
  </si>
  <si>
    <t>Extensions</t>
  </si>
  <si>
    <t>Kinky Straight</t>
  </si>
  <si>
    <t>Closure</t>
  </si>
  <si>
    <t>Limited</t>
  </si>
  <si>
    <t>Deep Wave</t>
  </si>
  <si>
    <t>Glueless Cap</t>
  </si>
  <si>
    <t>Sale</t>
  </si>
  <si>
    <t>Afro</t>
  </si>
  <si>
    <t>Headband</t>
  </si>
  <si>
    <t>Silk Base Topper</t>
  </si>
  <si>
    <t>Clip-in</t>
  </si>
  <si>
    <t>Tape-in</t>
  </si>
  <si>
    <t>EXAMPLE - for reference only. Fill in the Products and Variants sheets.</t>
  </si>
  <si>
    <t>Product Name</t>
  </si>
  <si>
    <t>Full Description</t>
  </si>
  <si>
    <t>Original Price (₹)</t>
  </si>
  <si>
    <t>Images (file names)</t>
  </si>
  <si>
    <t>HD Lace Body Wave Wig</t>
  </si>
  <si>
    <t>Hairshalo Signature</t>
  </si>
  <si>
    <t>13x4 HD lace frontal wig in soft body wave, 100% human hair.</t>
  </si>
  <si>
    <t>Made from 100% virgin human hair with an invisible 13x4 HD lace frontal. Pre-plucked hairline with baby hair; can be dyed, bleached and heat styled.</t>
  </si>
  <si>
    <t>Wig</t>
  </si>
  <si>
    <t>220g</t>
  </si>
  <si>
    <t>Up to 180°C</t>
  </si>
  <si>
    <t>13x4 HD lace frontal
Pre-plucked hairline
Adjustable straps</t>
  </si>
  <si>
    <t>Natural hairline
Lasts 12+ months with care</t>
  </si>
  <si>
    <t>Wash with sulphate-free shampoo
Air dry on a wig stand</t>
  </si>
  <si>
    <t>hd-body-wave-front.jpg | hd-body-wave-side.jpg</t>
  </si>
  <si>
    <t>hd-body-wave.mp4</t>
  </si>
  <si>
    <t>Variants of this product</t>
  </si>
  <si>
    <t>SKU</t>
  </si>
  <si>
    <t>Stock</t>
  </si>
  <si>
    <t>VR-HD-16-NB</t>
  </si>
  <si>
    <t>16"</t>
  </si>
  <si>
    <t>180%</t>
  </si>
  <si>
    <t>Natural Black</t>
  </si>
  <si>
    <t>HD Lace</t>
  </si>
  <si>
    <t>Medium</t>
  </si>
  <si>
    <t>VR-HD-22-NB</t>
  </si>
  <si>
    <t>22"</t>
  </si>
  <si>
    <t>VR-HD-22-613</t>
  </si>
  <si>
    <t>200%</t>
  </si>
  <si>
    <t>613 Blonde</t>
  </si>
  <si>
    <t>hd-body-wave-613.jpg</t>
  </si>
  <si>
    <t>Row 8 has no price override, so it sells at the product's ₹22,500. Row 9 has its own ₹29,000 price with ₹2,000 off. Row 10 is out of stock and hidden from sale.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</si>
</sst>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5" x14ac:knownFonts="1">
    <font>
      <sz val="11"/>
      <color theme="1"/>
      <name val="Calibri"/>
      <family val="2"/>
      <scheme val="minor"/>
    </font>
    <font>
      <b/>
      <sz val="16"/>
      <color rgb="FF7A1F3D"/>
      <name val="Arial"/>
    </font>
    <font>
      <i/>
      <sz val="10"/>
      <name val="Arial"/>
    </font>
    <font>
      <b/>
      <sz val="12"/>
      <color rgb="FF7A1F3D"/>
      <name val="Arial"/>
    </font>
    <font>
      <b/>
      <sz val="10"/>
      <color rgb="FF1F1F1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7A1F3D"/>
      <name val="Arial"/>
    </font>
    <font>
      <sz val="10"/>
      <color rgb="FF0000FF"/>
      <name val="Arial"/>
    </font>
    <font>
      <sz val="10"/>
      <color rgb="FF1F1F1F"/>
      <name val="Arial"/>
    </font>
    <font>
      <b/>
      <sz val="11"/>
      <color rgb="FF7A1F3D"/>
      <name val="Arial"/>
    </font>
    <font>
      <sz val="11"/>
      <color rgb="FF0000FF"/>
      <name val="Arial"/>
    </font>
    <font>
      <sz val="11"/>
      <color rgb="FF1F1F1F"/>
      <name val="Arial"/>
    </font>
    <font>
      <i/>
      <sz val="9"/>
      <name val="Arial"/>
    </font>
    <font>
      <b/>
      <i/>
      <sz val="11"/>
      <color rgb="FF7A1F3D"/>
      <name val="Arial"/>
    </font>
  </fonts>
  <fills count="12">
    <fill>
      <patternFill patternType="none"/>
    </fill>
    <fill>
      <patternFill patternType="gray125"/>
    </fill>
    <fill>
      <patternFill patternType="solid">
        <fgColor rgb="FF7A1F3D"/>
      </patternFill>
    </fill>
    <fill>
      <patternFill patternType="solid">
        <fgColor rgb="FFC28A9E"/>
      </patternFill>
    </fill>
    <fill>
      <patternFill patternType="solid">
        <fgColor rgb="FFE7E2E4"/>
      </patternFill>
    </fill>
    <fill>
      <patternFill patternType="solid">
        <fgColor rgb="FFDCE6F1"/>
      </patternFill>
    </fill>
    <fill>
      <patternFill patternType="solid">
        <fgColor rgb="FFF4E8EC"/>
      </patternFill>
    </fill>
    <fill>
      <patternFill patternType="solid">
        <fgColor rgb="FFEAF1E4"/>
      </patternFill>
    </fill>
    <fill>
      <patternFill patternType="solid">
        <fgColor rgb="FFFFF4DC"/>
      </patternFill>
    </fill>
    <fill>
      <patternFill patternType="solid">
        <fgColor rgb="FFE8EEF7"/>
      </patternFill>
    </fill>
    <fill>
      <patternFill patternType="solid">
        <fgColor rgb="FFEFE8F5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164" fontId="9" fillId="11" borderId="0" xfId="0" applyNumberFormat="1" applyFont="1" applyFill="1" applyAlignment="1">
      <alignment vertical="top"/>
    </xf>
    <xf numFmtId="0" fontId="9" fillId="11" borderId="0" xfId="0" applyFont="1" applyFill="1" applyAlignment="1">
      <alignment vertical="top"/>
    </xf>
    <xf numFmtId="0" fontId="9" fillId="11" borderId="0" xfId="0" applyFont="1" applyFill="1" applyAlignment="1">
      <alignment vertical="top" wrapText="1"/>
    </xf>
    <xf numFmtId="0" fontId="10" fillId="0" borderId="0" xfId="0" applyFont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164" fontId="8" fillId="0" borderId="0" xfId="0" applyNumberFormat="1" applyFont="1" applyAlignment="1">
      <alignment vertical="top" wrapText="1"/>
    </xf>
    <xf numFmtId="164" fontId="9" fillId="11" borderId="0" xfId="0" applyNumberFormat="1" applyFont="1" applyFill="1" applyAlignment="1">
      <alignment vertical="top" wrapText="1"/>
    </xf>
    <xf numFmtId="0" fontId="8" fillId="0" borderId="0" xfId="0" applyFont="1"/>
    <xf numFmtId="164" fontId="8" fillId="0" borderId="0" xfId="0" applyNumberFormat="1" applyFont="1"/>
    <xf numFmtId="164" fontId="5" fillId="11" borderId="0" xfId="0" applyNumberFormat="1" applyFont="1" applyFill="1"/>
    <xf numFmtId="0" fontId="7" fillId="5" borderId="1" xfId="0" applyFont="1" applyFill="1" applyBorder="1" applyAlignment="1">
      <alignment horizontal="left" vertical="center" indent="1"/>
    </xf>
    <xf numFmtId="0" fontId="0" fillId="0" borderId="1" xfId="0" applyBorder="1"/>
    <xf numFmtId="0" fontId="7" fillId="9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tabSelected="1" workbookViewId="0"/>
  </sheetViews>
  <sheetFormatPr defaultRowHeight="14.4" x14ac:dyDescent="0.3"/>
  <cols>
    <col min="1" max="1" width="3" customWidth="1"/>
    <col min="2" max="2" width="28" customWidth="1"/>
    <col min="3" max="3" width="92" customWidth="1"/>
  </cols>
  <sheetData>
    <row r="2" spans="2:3" ht="21" x14ac:dyDescent="0.4">
      <c r="B2" s="1" t="s">
        <v>0</v>
      </c>
    </row>
    <row r="3" spans="2:3" x14ac:dyDescent="0.3">
      <c r="B3" s="2" t="s">
        <v>1</v>
      </c>
    </row>
    <row r="5" spans="2:3" ht="15.6" x14ac:dyDescent="0.3">
      <c r="B5" s="3" t="s">
        <v>2</v>
      </c>
    </row>
    <row r="6" spans="2:3" ht="26.4" x14ac:dyDescent="0.3">
      <c r="B6" s="4" t="s">
        <v>3</v>
      </c>
      <c r="C6" s="5" t="s">
        <v>4</v>
      </c>
    </row>
    <row r="7" spans="2:3" x14ac:dyDescent="0.3">
      <c r="B7" s="4" t="s">
        <v>5</v>
      </c>
      <c r="C7" s="5" t="s">
        <v>6</v>
      </c>
    </row>
    <row r="8" spans="2:3" x14ac:dyDescent="0.3">
      <c r="B8" s="4" t="s">
        <v>7</v>
      </c>
      <c r="C8" s="5" t="s">
        <v>8</v>
      </c>
    </row>
    <row r="9" spans="2:3" x14ac:dyDescent="0.3">
      <c r="B9" s="4" t="s">
        <v>9</v>
      </c>
      <c r="C9" s="5" t="s">
        <v>10</v>
      </c>
    </row>
    <row r="11" spans="2:3" ht="15.6" x14ac:dyDescent="0.3">
      <c r="B11" s="3" t="s">
        <v>11</v>
      </c>
    </row>
    <row r="12" spans="2:3" x14ac:dyDescent="0.3">
      <c r="B12" s="6" t="s">
        <v>12</v>
      </c>
      <c r="C12" s="5" t="s">
        <v>13</v>
      </c>
    </row>
    <row r="13" spans="2:3" x14ac:dyDescent="0.3">
      <c r="B13" s="7" t="s">
        <v>14</v>
      </c>
      <c r="C13" s="5" t="s">
        <v>15</v>
      </c>
    </row>
    <row r="14" spans="2:3" x14ac:dyDescent="0.3">
      <c r="B14" s="8" t="s">
        <v>16</v>
      </c>
      <c r="C14" s="5" t="s">
        <v>17</v>
      </c>
    </row>
    <row r="15" spans="2:3" x14ac:dyDescent="0.3">
      <c r="B15" s="9" t="s">
        <v>18</v>
      </c>
      <c r="C15" s="5" t="s">
        <v>19</v>
      </c>
    </row>
    <row r="16" spans="2:3" x14ac:dyDescent="0.3">
      <c r="B16" s="4" t="s">
        <v>20</v>
      </c>
      <c r="C16" s="5" t="s">
        <v>21</v>
      </c>
    </row>
    <row r="18" spans="2:3" ht="15.6" x14ac:dyDescent="0.3">
      <c r="B18" s="3" t="s">
        <v>22</v>
      </c>
    </row>
    <row r="19" spans="2:3" x14ac:dyDescent="0.3">
      <c r="B19" s="4" t="s">
        <v>23</v>
      </c>
      <c r="C19" s="5" t="s">
        <v>24</v>
      </c>
    </row>
    <row r="20" spans="2:3" x14ac:dyDescent="0.3">
      <c r="B20" s="4" t="s">
        <v>25</v>
      </c>
      <c r="C20" s="5" t="s">
        <v>26</v>
      </c>
    </row>
    <row r="21" spans="2:3" x14ac:dyDescent="0.3">
      <c r="B21" s="4" t="s">
        <v>27</v>
      </c>
      <c r="C21" s="5" t="s">
        <v>28</v>
      </c>
    </row>
    <row r="22" spans="2:3" x14ac:dyDescent="0.3">
      <c r="B22" s="4" t="s">
        <v>29</v>
      </c>
      <c r="C22" s="5" t="s">
        <v>30</v>
      </c>
    </row>
    <row r="23" spans="2:3" x14ac:dyDescent="0.3">
      <c r="B23" s="4" t="s">
        <v>31</v>
      </c>
      <c r="C23" s="5" t="s">
        <v>30</v>
      </c>
    </row>
    <row r="24" spans="2:3" x14ac:dyDescent="0.3">
      <c r="B24" s="4"/>
      <c r="C24" s="5" t="s">
        <v>32</v>
      </c>
    </row>
    <row r="26" spans="2:3" ht="15.6" x14ac:dyDescent="0.3">
      <c r="B26" s="3" t="s">
        <v>33</v>
      </c>
    </row>
    <row r="27" spans="2:3" x14ac:dyDescent="0.3">
      <c r="B27" s="4" t="s">
        <v>34</v>
      </c>
      <c r="C27" s="5" t="s">
        <v>35</v>
      </c>
    </row>
    <row r="28" spans="2:3" x14ac:dyDescent="0.3">
      <c r="B28" s="4" t="s">
        <v>36</v>
      </c>
      <c r="C28" s="5" t="s">
        <v>37</v>
      </c>
    </row>
    <row r="29" spans="2:3" x14ac:dyDescent="0.3">
      <c r="B29" s="4" t="s">
        <v>38</v>
      </c>
      <c r="C29" s="5" t="s">
        <v>39</v>
      </c>
    </row>
    <row r="30" spans="2:3" ht="26.4" x14ac:dyDescent="0.3">
      <c r="B30" s="4" t="s">
        <v>40</v>
      </c>
      <c r="C30" s="5" t="s">
        <v>41</v>
      </c>
    </row>
    <row r="32" spans="2:3" ht="15.6" x14ac:dyDescent="0.3">
      <c r="B32" s="3" t="s">
        <v>42</v>
      </c>
    </row>
    <row r="33" spans="2:3" x14ac:dyDescent="0.3">
      <c r="B33" s="4" t="s">
        <v>43</v>
      </c>
      <c r="C33" s="5" t="s">
        <v>44</v>
      </c>
    </row>
    <row r="34" spans="2:3" x14ac:dyDescent="0.3">
      <c r="B34" s="4" t="s">
        <v>45</v>
      </c>
      <c r="C34" s="5" t="s">
        <v>46</v>
      </c>
    </row>
    <row r="35" spans="2:3" x14ac:dyDescent="0.3">
      <c r="B35" s="4" t="s">
        <v>47</v>
      </c>
      <c r="C35" s="5" t="s">
        <v>48</v>
      </c>
    </row>
    <row r="36" spans="2:3" x14ac:dyDescent="0.3">
      <c r="B36" s="4" t="s">
        <v>49</v>
      </c>
      <c r="C36" s="5" t="s">
        <v>50</v>
      </c>
    </row>
    <row r="37" spans="2:3" x14ac:dyDescent="0.3">
      <c r="B37" s="4" t="s">
        <v>51</v>
      </c>
      <c r="C37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0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3" width="18" customWidth="1"/>
    <col min="4" max="4" width="36" customWidth="1"/>
    <col min="5" max="5" width="50" customWidth="1"/>
    <col min="6" max="6" width="16" customWidth="1"/>
    <col min="7" max="7" width="15" customWidth="1"/>
    <col min="8" max="8" width="16" customWidth="1"/>
    <col min="9" max="9" width="18" customWidth="1"/>
    <col min="10" max="10" width="11" customWidth="1"/>
    <col min="11" max="11" width="15" customWidth="1"/>
    <col min="12" max="14" width="34" customWidth="1"/>
    <col min="15" max="16" width="15" customWidth="1"/>
    <col min="17" max="17" width="12" customWidth="1"/>
    <col min="18" max="18" width="13" customWidth="1"/>
    <col min="19" max="19" width="15" customWidth="1"/>
    <col min="20" max="20" width="34" customWidth="1"/>
    <col min="21" max="21" width="20" customWidth="1"/>
    <col min="22" max="22" width="12" customWidth="1"/>
    <col min="23" max="24" width="10" customWidth="1"/>
    <col min="25" max="26" width="11" customWidth="1"/>
    <col min="27" max="27" width="12" customWidth="1"/>
    <col min="28" max="28" width="10" customWidth="1"/>
    <col min="29" max="29" width="34" customWidth="1"/>
  </cols>
  <sheetData>
    <row r="1" spans="1:29" ht="19.95" customHeight="1" x14ac:dyDescent="0.3">
      <c r="A1" s="37" t="s">
        <v>53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6" t="s">
        <v>54</v>
      </c>
      <c r="P1" s="33"/>
      <c r="Q1" s="33"/>
      <c r="R1" s="33"/>
      <c r="S1" s="33"/>
      <c r="T1" s="35" t="s">
        <v>55</v>
      </c>
      <c r="U1" s="33"/>
      <c r="V1" s="34" t="s">
        <v>56</v>
      </c>
      <c r="W1" s="33"/>
      <c r="X1" s="33"/>
      <c r="Y1" s="33"/>
      <c r="Z1" s="33"/>
      <c r="AA1" s="11" t="s">
        <v>57</v>
      </c>
      <c r="AB1" s="32" t="s">
        <v>58</v>
      </c>
      <c r="AC1" s="33"/>
    </row>
    <row r="2" spans="1:29" ht="34.049999999999997" customHeight="1" x14ac:dyDescent="0.3">
      <c r="A2" s="12" t="s">
        <v>59</v>
      </c>
      <c r="B2" s="12" t="s">
        <v>60</v>
      </c>
      <c r="C2" s="13" t="s">
        <v>61</v>
      </c>
      <c r="D2" s="14" t="s">
        <v>62</v>
      </c>
      <c r="E2" s="12" t="s">
        <v>63</v>
      </c>
      <c r="F2" s="14" t="s">
        <v>64</v>
      </c>
      <c r="G2" s="14" t="s">
        <v>65</v>
      </c>
      <c r="H2" s="14" t="s">
        <v>66</v>
      </c>
      <c r="I2" s="13" t="s">
        <v>67</v>
      </c>
      <c r="J2" s="13" t="s">
        <v>68</v>
      </c>
      <c r="K2" s="13" t="s">
        <v>69</v>
      </c>
      <c r="L2" s="14" t="s">
        <v>70</v>
      </c>
      <c r="M2" s="13" t="s">
        <v>71</v>
      </c>
      <c r="N2" s="14" t="s">
        <v>72</v>
      </c>
      <c r="O2" s="12" t="s">
        <v>73</v>
      </c>
      <c r="P2" s="13" t="s">
        <v>74</v>
      </c>
      <c r="Q2" s="13" t="s">
        <v>75</v>
      </c>
      <c r="R2" s="15" t="s">
        <v>76</v>
      </c>
      <c r="S2" s="15" t="s">
        <v>77</v>
      </c>
      <c r="T2" s="12" t="s">
        <v>78</v>
      </c>
      <c r="U2" s="13" t="s">
        <v>79</v>
      </c>
      <c r="V2" s="13" t="s">
        <v>80</v>
      </c>
      <c r="W2" s="13" t="s">
        <v>81</v>
      </c>
      <c r="X2" s="13" t="s">
        <v>82</v>
      </c>
      <c r="Y2" s="13" t="s">
        <v>83</v>
      </c>
      <c r="Z2" s="13" t="s">
        <v>84</v>
      </c>
      <c r="AA2" s="13" t="s">
        <v>85</v>
      </c>
      <c r="AB2" s="15" t="s">
        <v>5</v>
      </c>
      <c r="AC2" s="15" t="s">
        <v>86</v>
      </c>
    </row>
    <row r="3" spans="1:29" x14ac:dyDescent="0.3">
      <c r="A3" s="16"/>
      <c r="B3" s="16"/>
      <c r="C3" s="16"/>
      <c r="D3" s="17"/>
      <c r="E3" s="17"/>
      <c r="F3" s="16"/>
      <c r="G3" s="16"/>
      <c r="H3" s="16"/>
      <c r="I3" s="16"/>
      <c r="J3" s="16"/>
      <c r="K3" s="16"/>
      <c r="L3" s="17"/>
      <c r="M3" s="17"/>
      <c r="N3" s="17"/>
      <c r="O3" s="18"/>
      <c r="P3" s="16"/>
      <c r="Q3" s="16"/>
      <c r="R3" s="19" t="str">
        <f t="shared" ref="R3:R66" si="0">IF(O3="","",IF(P3="Percentage",ROUND(O3*N(Q3)/100,2),IF(P3="Fixed amount",N(Q3),0)))</f>
        <v/>
      </c>
      <c r="S3" s="19" t="str">
        <f t="shared" ref="S3:S66" si="1">IF(O3="","",O3-R3)</f>
        <v/>
      </c>
      <c r="T3" s="17"/>
      <c r="U3" s="16"/>
      <c r="V3" s="16"/>
      <c r="W3" s="16"/>
      <c r="X3" s="16"/>
      <c r="Y3" s="16"/>
      <c r="Z3" s="16"/>
      <c r="AA3" s="16"/>
      <c r="AB3" s="20" t="str">
        <f>IF(A3="","",COUNTIF(Variants!$A$3:$A$1502,A3))</f>
        <v/>
      </c>
      <c r="AC3" s="21" t="str">
        <f>IF(A3="","",IF(IF(E3="","description, ","")&amp;IF(AND(O3="",COUNTIFS(Variants!$A$3:$A$1502,A3,Variants!$K$3:$K$1502,"&lt;&gt;")=0),"price, ","")&amp;IF(T3="","image, ","")&amp;IF(B3="","category, ","")&amp;IF(N(AB3)=0,"variant, ","")&amp;IF(AND(P3="Percentage",N(Q3)&gt;100),"discount over 100%, ","")&amp;IF(AND(P3="Fixed amount",O3&lt;&gt;"",N(Q3)&gt;N(O3)),"discount over price, ","")="","Ready","Missing: "&amp;LEFT(IF(E3="","description, ","")&amp;IF(AND(O3="",COUNTIFS(Variants!$A$3:$A$1502,A3,Variants!$K$3:$K$1502,"&lt;&gt;")=0),"price, ","")&amp;IF(T3="","image, ","")&amp;IF(B3="","category, ","")&amp;IF(N(AB3)=0,"variant, ","")&amp;IF(AND(P3="Percentage",N(Q3)&gt;100),"discount over 100%, ","")&amp;IF(AND(P3="Fixed amount",O3&lt;&gt;"",N(Q3)&gt;N(O3)),"discount over price, ",""),LEN(IF(E3="","description, ","")&amp;IF(AND(O3="",COUNTIFS(Variants!$A$3:$A$1502,A3,Variants!$K$3:$K$1502,"&lt;&gt;")=0),"price, ","")&amp;IF(T3="","image, ","")&amp;IF(B3="","category, ","")&amp;IF(N(AB3)=0,"variant, ","")&amp;IF(AND(P3="Percentage",N(Q3)&gt;100),"discount over 100%, ","")&amp;IF(AND(P3="Fixed amount",O3&lt;&gt;"",N(Q3)&gt;N(O3)),"discount over price, ",""))-2)))</f>
        <v/>
      </c>
    </row>
    <row r="4" spans="1:29" x14ac:dyDescent="0.3">
      <c r="A4" s="16"/>
      <c r="B4" s="16"/>
      <c r="C4" s="16"/>
      <c r="D4" s="17"/>
      <c r="E4" s="17"/>
      <c r="F4" s="16"/>
      <c r="G4" s="16"/>
      <c r="H4" s="16"/>
      <c r="I4" s="16"/>
      <c r="J4" s="16"/>
      <c r="K4" s="16"/>
      <c r="L4" s="17"/>
      <c r="M4" s="17"/>
      <c r="N4" s="17"/>
      <c r="O4" s="18"/>
      <c r="P4" s="16"/>
      <c r="Q4" s="16"/>
      <c r="R4" s="19" t="str">
        <f t="shared" si="0"/>
        <v/>
      </c>
      <c r="S4" s="19" t="str">
        <f t="shared" si="1"/>
        <v/>
      </c>
      <c r="T4" s="17"/>
      <c r="U4" s="16"/>
      <c r="V4" s="16"/>
      <c r="W4" s="16"/>
      <c r="X4" s="16"/>
      <c r="Y4" s="16"/>
      <c r="Z4" s="16"/>
      <c r="AA4" s="16"/>
      <c r="AB4" s="20" t="str">
        <f>IF(A4="","",COUNTIF(Variants!$A$3:$A$1502,A4))</f>
        <v/>
      </c>
      <c r="AC4" s="21" t="str">
        <f>IF(A4="","",IF(IF(E4="","description, ","")&amp;IF(AND(O4="",COUNTIFS(Variants!$A$3:$A$1502,A4,Variants!$K$3:$K$1502,"&lt;&gt;")=0),"price, ","")&amp;IF(T4="","image, ","")&amp;IF(B4="","category, ","")&amp;IF(N(AB4)=0,"variant, ","")&amp;IF(AND(P4="Percentage",N(Q4)&gt;100),"discount over 100%, ","")&amp;IF(AND(P4="Fixed amount",O4&lt;&gt;"",N(Q4)&gt;N(O4)),"discount over price, ","")="","Ready","Missing: "&amp;LEFT(IF(E4="","description, ","")&amp;IF(AND(O4="",COUNTIFS(Variants!$A$3:$A$1502,A4,Variants!$K$3:$K$1502,"&lt;&gt;")=0),"price, ","")&amp;IF(T4="","image, ","")&amp;IF(B4="","category, ","")&amp;IF(N(AB4)=0,"variant, ","")&amp;IF(AND(P4="Percentage",N(Q4)&gt;100),"discount over 100%, ","")&amp;IF(AND(P4="Fixed amount",O4&lt;&gt;"",N(Q4)&gt;N(O4)),"discount over price, ",""),LEN(IF(E4="","description, ","")&amp;IF(AND(O4="",COUNTIFS(Variants!$A$3:$A$1502,A4,Variants!$K$3:$K$1502,"&lt;&gt;")=0),"price, ","")&amp;IF(T4="","image, ","")&amp;IF(B4="","category, ","")&amp;IF(N(AB4)=0,"variant, ","")&amp;IF(AND(P4="Percentage",N(Q4)&gt;100),"discount over 100%, ","")&amp;IF(AND(P4="Fixed amount",O4&lt;&gt;"",N(Q4)&gt;N(O4)),"discount over price, ",""))-2)))</f>
        <v/>
      </c>
    </row>
    <row r="5" spans="1:29" x14ac:dyDescent="0.3">
      <c r="A5" s="16"/>
      <c r="B5" s="16"/>
      <c r="C5" s="16"/>
      <c r="D5" s="17"/>
      <c r="E5" s="17"/>
      <c r="F5" s="16"/>
      <c r="G5" s="16"/>
      <c r="H5" s="16"/>
      <c r="I5" s="16"/>
      <c r="J5" s="16"/>
      <c r="K5" s="16"/>
      <c r="L5" s="17"/>
      <c r="M5" s="17"/>
      <c r="N5" s="17"/>
      <c r="O5" s="18"/>
      <c r="P5" s="16"/>
      <c r="Q5" s="16"/>
      <c r="R5" s="19" t="str">
        <f t="shared" si="0"/>
        <v/>
      </c>
      <c r="S5" s="19" t="str">
        <f t="shared" si="1"/>
        <v/>
      </c>
      <c r="T5" s="17"/>
      <c r="U5" s="16"/>
      <c r="V5" s="16"/>
      <c r="W5" s="16"/>
      <c r="X5" s="16"/>
      <c r="Y5" s="16"/>
      <c r="Z5" s="16"/>
      <c r="AA5" s="16"/>
      <c r="AB5" s="20" t="str">
        <f>IF(A5="","",COUNTIF(Variants!$A$3:$A$1502,A5))</f>
        <v/>
      </c>
      <c r="AC5" s="21" t="str">
        <f>IF(A5="","",IF(IF(E5="","description, ","")&amp;IF(AND(O5="",COUNTIFS(Variants!$A$3:$A$1502,A5,Variants!$K$3:$K$1502,"&lt;&gt;")=0),"price, ","")&amp;IF(T5="","image, ","")&amp;IF(B5="","category, ","")&amp;IF(N(AB5)=0,"variant, ","")&amp;IF(AND(P5="Percentage",N(Q5)&gt;100),"discount over 100%, ","")&amp;IF(AND(P5="Fixed amount",O5&lt;&gt;"",N(Q5)&gt;N(O5)),"discount over price, ","")="","Ready","Missing: "&amp;LEFT(IF(E5="","description, ","")&amp;IF(AND(O5="",COUNTIFS(Variants!$A$3:$A$1502,A5,Variants!$K$3:$K$1502,"&lt;&gt;")=0),"price, ","")&amp;IF(T5="","image, ","")&amp;IF(B5="","category, ","")&amp;IF(N(AB5)=0,"variant, ","")&amp;IF(AND(P5="Percentage",N(Q5)&gt;100),"discount over 100%, ","")&amp;IF(AND(P5="Fixed amount",O5&lt;&gt;"",N(Q5)&gt;N(O5)),"discount over price, ",""),LEN(IF(E5="","description, ","")&amp;IF(AND(O5="",COUNTIFS(Variants!$A$3:$A$1502,A5,Variants!$K$3:$K$1502,"&lt;&gt;")=0),"price, ","")&amp;IF(T5="","image, ","")&amp;IF(B5="","category, ","")&amp;IF(N(AB5)=0,"variant, ","")&amp;IF(AND(P5="Percentage",N(Q5)&gt;100),"discount over 100%, ","")&amp;IF(AND(P5="Fixed amount",O5&lt;&gt;"",N(Q5)&gt;N(O5)),"discount over price, ",""))-2)))</f>
        <v/>
      </c>
    </row>
    <row r="6" spans="1:29" x14ac:dyDescent="0.3">
      <c r="A6" s="16"/>
      <c r="B6" s="16"/>
      <c r="C6" s="16"/>
      <c r="D6" s="17"/>
      <c r="E6" s="17"/>
      <c r="F6" s="16"/>
      <c r="G6" s="16"/>
      <c r="H6" s="16"/>
      <c r="I6" s="16"/>
      <c r="J6" s="16"/>
      <c r="K6" s="16"/>
      <c r="L6" s="17"/>
      <c r="M6" s="17"/>
      <c r="N6" s="17"/>
      <c r="O6" s="18"/>
      <c r="P6" s="16"/>
      <c r="Q6" s="16"/>
      <c r="R6" s="19" t="str">
        <f t="shared" si="0"/>
        <v/>
      </c>
      <c r="S6" s="19" t="str">
        <f t="shared" si="1"/>
        <v/>
      </c>
      <c r="T6" s="17"/>
      <c r="U6" s="16"/>
      <c r="V6" s="16"/>
      <c r="W6" s="16"/>
      <c r="X6" s="16"/>
      <c r="Y6" s="16"/>
      <c r="Z6" s="16"/>
      <c r="AA6" s="16"/>
      <c r="AB6" s="20" t="str">
        <f>IF(A6="","",COUNTIF(Variants!$A$3:$A$1502,A6))</f>
        <v/>
      </c>
      <c r="AC6" s="21" t="str">
        <f>IF(A6="","",IF(IF(E6="","description, ","")&amp;IF(AND(O6="",COUNTIFS(Variants!$A$3:$A$1502,A6,Variants!$K$3:$K$1502,"&lt;&gt;")=0),"price, ","")&amp;IF(T6="","image, ","")&amp;IF(B6="","category, ","")&amp;IF(N(AB6)=0,"variant, ","")&amp;IF(AND(P6="Percentage",N(Q6)&gt;100),"discount over 100%, ","")&amp;IF(AND(P6="Fixed amount",O6&lt;&gt;"",N(Q6)&gt;N(O6)),"discount over price, ","")="","Ready","Missing: "&amp;LEFT(IF(E6="","description, ","")&amp;IF(AND(O6="",COUNTIFS(Variants!$A$3:$A$1502,A6,Variants!$K$3:$K$1502,"&lt;&gt;")=0),"price, ","")&amp;IF(T6="","image, ","")&amp;IF(B6="","category, ","")&amp;IF(N(AB6)=0,"variant, ","")&amp;IF(AND(P6="Percentage",N(Q6)&gt;100),"discount over 100%, ","")&amp;IF(AND(P6="Fixed amount",O6&lt;&gt;"",N(Q6)&gt;N(O6)),"discount over price, ",""),LEN(IF(E6="","description, ","")&amp;IF(AND(O6="",COUNTIFS(Variants!$A$3:$A$1502,A6,Variants!$K$3:$K$1502,"&lt;&gt;")=0),"price, ","")&amp;IF(T6="","image, ","")&amp;IF(B6="","category, ","")&amp;IF(N(AB6)=0,"variant, ","")&amp;IF(AND(P6="Percentage",N(Q6)&gt;100),"discount over 100%, ","")&amp;IF(AND(P6="Fixed amount",O6&lt;&gt;"",N(Q6)&gt;N(O6)),"discount over price, ",""))-2)))</f>
        <v/>
      </c>
    </row>
    <row r="7" spans="1:29" x14ac:dyDescent="0.3">
      <c r="A7" s="16"/>
      <c r="B7" s="16"/>
      <c r="C7" s="16"/>
      <c r="D7" s="17"/>
      <c r="E7" s="17"/>
      <c r="F7" s="16"/>
      <c r="G7" s="16"/>
      <c r="H7" s="16"/>
      <c r="I7" s="16"/>
      <c r="J7" s="16"/>
      <c r="K7" s="16"/>
      <c r="L7" s="17"/>
      <c r="M7" s="17"/>
      <c r="N7" s="17"/>
      <c r="O7" s="18"/>
      <c r="P7" s="16"/>
      <c r="Q7" s="16"/>
      <c r="R7" s="19" t="str">
        <f t="shared" si="0"/>
        <v/>
      </c>
      <c r="S7" s="19" t="str">
        <f t="shared" si="1"/>
        <v/>
      </c>
      <c r="T7" s="17"/>
      <c r="U7" s="16"/>
      <c r="V7" s="16"/>
      <c r="W7" s="16"/>
      <c r="X7" s="16"/>
      <c r="Y7" s="16"/>
      <c r="Z7" s="16"/>
      <c r="AA7" s="16"/>
      <c r="AB7" s="20" t="str">
        <f>IF(A7="","",COUNTIF(Variants!$A$3:$A$1502,A7))</f>
        <v/>
      </c>
      <c r="AC7" s="21" t="str">
        <f>IF(A7="","",IF(IF(E7="","description, ","")&amp;IF(AND(O7="",COUNTIFS(Variants!$A$3:$A$1502,A7,Variants!$K$3:$K$1502,"&lt;&gt;")=0),"price, ","")&amp;IF(T7="","image, ","")&amp;IF(B7="","category, ","")&amp;IF(N(AB7)=0,"variant, ","")&amp;IF(AND(P7="Percentage",N(Q7)&gt;100),"discount over 100%, ","")&amp;IF(AND(P7="Fixed amount",O7&lt;&gt;"",N(Q7)&gt;N(O7)),"discount over price, ","")="","Ready","Missing: "&amp;LEFT(IF(E7="","description, ","")&amp;IF(AND(O7="",COUNTIFS(Variants!$A$3:$A$1502,A7,Variants!$K$3:$K$1502,"&lt;&gt;")=0),"price, ","")&amp;IF(T7="","image, ","")&amp;IF(B7="","category, ","")&amp;IF(N(AB7)=0,"variant, ","")&amp;IF(AND(P7="Percentage",N(Q7)&gt;100),"discount over 100%, ","")&amp;IF(AND(P7="Fixed amount",O7&lt;&gt;"",N(Q7)&gt;N(O7)),"discount over price, ",""),LEN(IF(E7="","description, ","")&amp;IF(AND(O7="",COUNTIFS(Variants!$A$3:$A$1502,A7,Variants!$K$3:$K$1502,"&lt;&gt;")=0),"price, ","")&amp;IF(T7="","image, ","")&amp;IF(B7="","category, ","")&amp;IF(N(AB7)=0,"variant, ","")&amp;IF(AND(P7="Percentage",N(Q7)&gt;100),"discount over 100%, ","")&amp;IF(AND(P7="Fixed amount",O7&lt;&gt;"",N(Q7)&gt;N(O7)),"discount over price, ",""))-2)))</f>
        <v/>
      </c>
    </row>
    <row r="8" spans="1:29" x14ac:dyDescent="0.3">
      <c r="A8" s="16"/>
      <c r="B8" s="16"/>
      <c r="C8" s="16"/>
      <c r="D8" s="17"/>
      <c r="E8" s="17"/>
      <c r="F8" s="16"/>
      <c r="G8" s="16"/>
      <c r="H8" s="16"/>
      <c r="I8" s="16"/>
      <c r="J8" s="16"/>
      <c r="K8" s="16"/>
      <c r="L8" s="17"/>
      <c r="M8" s="17"/>
      <c r="N8" s="17"/>
      <c r="O8" s="18"/>
      <c r="P8" s="16"/>
      <c r="Q8" s="16"/>
      <c r="R8" s="19" t="str">
        <f t="shared" si="0"/>
        <v/>
      </c>
      <c r="S8" s="19" t="str">
        <f t="shared" si="1"/>
        <v/>
      </c>
      <c r="T8" s="17"/>
      <c r="U8" s="16"/>
      <c r="V8" s="16"/>
      <c r="W8" s="16"/>
      <c r="X8" s="16"/>
      <c r="Y8" s="16"/>
      <c r="Z8" s="16"/>
      <c r="AA8" s="16"/>
      <c r="AB8" s="20" t="str">
        <f>IF(A8="","",COUNTIF(Variants!$A$3:$A$1502,A8))</f>
        <v/>
      </c>
      <c r="AC8" s="21" t="str">
        <f>IF(A8="","",IF(IF(E8="","description, ","")&amp;IF(AND(O8="",COUNTIFS(Variants!$A$3:$A$1502,A8,Variants!$K$3:$K$1502,"&lt;&gt;")=0),"price, ","")&amp;IF(T8="","image, ","")&amp;IF(B8="","category, ","")&amp;IF(N(AB8)=0,"variant, ","")&amp;IF(AND(P8="Percentage",N(Q8)&gt;100),"discount over 100%, ","")&amp;IF(AND(P8="Fixed amount",O8&lt;&gt;"",N(Q8)&gt;N(O8)),"discount over price, ","")="","Ready","Missing: "&amp;LEFT(IF(E8="","description, ","")&amp;IF(AND(O8="",COUNTIFS(Variants!$A$3:$A$1502,A8,Variants!$K$3:$K$1502,"&lt;&gt;")=0),"price, ","")&amp;IF(T8="","image, ","")&amp;IF(B8="","category, ","")&amp;IF(N(AB8)=0,"variant, ","")&amp;IF(AND(P8="Percentage",N(Q8)&gt;100),"discount over 100%, ","")&amp;IF(AND(P8="Fixed amount",O8&lt;&gt;"",N(Q8)&gt;N(O8)),"discount over price, ",""),LEN(IF(E8="","description, ","")&amp;IF(AND(O8="",COUNTIFS(Variants!$A$3:$A$1502,A8,Variants!$K$3:$K$1502,"&lt;&gt;")=0),"price, ","")&amp;IF(T8="","image, ","")&amp;IF(B8="","category, ","")&amp;IF(N(AB8)=0,"variant, ","")&amp;IF(AND(P8="Percentage",N(Q8)&gt;100),"discount over 100%, ","")&amp;IF(AND(P8="Fixed amount",O8&lt;&gt;"",N(Q8)&gt;N(O8)),"discount over price, ",""))-2)))</f>
        <v/>
      </c>
    </row>
    <row r="9" spans="1:29" x14ac:dyDescent="0.3">
      <c r="A9" s="16"/>
      <c r="B9" s="16"/>
      <c r="C9" s="16"/>
      <c r="D9" s="17"/>
      <c r="E9" s="17"/>
      <c r="F9" s="16"/>
      <c r="G9" s="16"/>
      <c r="H9" s="16"/>
      <c r="I9" s="16"/>
      <c r="J9" s="16"/>
      <c r="K9" s="16"/>
      <c r="L9" s="17"/>
      <c r="M9" s="17"/>
      <c r="N9" s="17"/>
      <c r="O9" s="18"/>
      <c r="P9" s="16"/>
      <c r="Q9" s="16"/>
      <c r="R9" s="19" t="str">
        <f t="shared" si="0"/>
        <v/>
      </c>
      <c r="S9" s="19" t="str">
        <f t="shared" si="1"/>
        <v/>
      </c>
      <c r="T9" s="17"/>
      <c r="U9" s="16"/>
      <c r="V9" s="16"/>
      <c r="W9" s="16"/>
      <c r="X9" s="16"/>
      <c r="Y9" s="16"/>
      <c r="Z9" s="16"/>
      <c r="AA9" s="16"/>
      <c r="AB9" s="20" t="str">
        <f>IF(A9="","",COUNTIF(Variants!$A$3:$A$1502,A9))</f>
        <v/>
      </c>
      <c r="AC9" s="21" t="str">
        <f>IF(A9="","",IF(IF(E9="","description, ","")&amp;IF(AND(O9="",COUNTIFS(Variants!$A$3:$A$1502,A9,Variants!$K$3:$K$1502,"&lt;&gt;")=0),"price, ","")&amp;IF(T9="","image, ","")&amp;IF(B9="","category, ","")&amp;IF(N(AB9)=0,"variant, ","")&amp;IF(AND(P9="Percentage",N(Q9)&gt;100),"discount over 100%, ","")&amp;IF(AND(P9="Fixed amount",O9&lt;&gt;"",N(Q9)&gt;N(O9)),"discount over price, ","")="","Ready","Missing: "&amp;LEFT(IF(E9="","description, ","")&amp;IF(AND(O9="",COUNTIFS(Variants!$A$3:$A$1502,A9,Variants!$K$3:$K$1502,"&lt;&gt;")=0),"price, ","")&amp;IF(T9="","image, ","")&amp;IF(B9="","category, ","")&amp;IF(N(AB9)=0,"variant, ","")&amp;IF(AND(P9="Percentage",N(Q9)&gt;100),"discount over 100%, ","")&amp;IF(AND(P9="Fixed amount",O9&lt;&gt;"",N(Q9)&gt;N(O9)),"discount over price, ",""),LEN(IF(E9="","description, ","")&amp;IF(AND(O9="",COUNTIFS(Variants!$A$3:$A$1502,A9,Variants!$K$3:$K$1502,"&lt;&gt;")=0),"price, ","")&amp;IF(T9="","image, ","")&amp;IF(B9="","category, ","")&amp;IF(N(AB9)=0,"variant, ","")&amp;IF(AND(P9="Percentage",N(Q9)&gt;100),"discount over 100%, ","")&amp;IF(AND(P9="Fixed amount",O9&lt;&gt;"",N(Q9)&gt;N(O9)),"discount over price, ",""))-2)))</f>
        <v/>
      </c>
    </row>
    <row r="10" spans="1:29" x14ac:dyDescent="0.3">
      <c r="A10" s="16"/>
      <c r="B10" s="16"/>
      <c r="C10" s="16"/>
      <c r="D10" s="17"/>
      <c r="E10" s="17"/>
      <c r="F10" s="16"/>
      <c r="G10" s="16"/>
      <c r="H10" s="16"/>
      <c r="I10" s="16"/>
      <c r="J10" s="16"/>
      <c r="K10" s="16"/>
      <c r="L10" s="17"/>
      <c r="M10" s="17"/>
      <c r="N10" s="17"/>
      <c r="O10" s="18"/>
      <c r="P10" s="16"/>
      <c r="Q10" s="16"/>
      <c r="R10" s="19" t="str">
        <f t="shared" si="0"/>
        <v/>
      </c>
      <c r="S10" s="19" t="str">
        <f t="shared" si="1"/>
        <v/>
      </c>
      <c r="T10" s="17"/>
      <c r="U10" s="16"/>
      <c r="V10" s="16"/>
      <c r="W10" s="16"/>
      <c r="X10" s="16"/>
      <c r="Y10" s="16"/>
      <c r="Z10" s="16"/>
      <c r="AA10" s="16"/>
      <c r="AB10" s="20" t="str">
        <f>IF(A10="","",COUNTIF(Variants!$A$3:$A$1502,A10))</f>
        <v/>
      </c>
      <c r="AC10" s="21" t="str">
        <f>IF(A10="","",IF(IF(E10="","description, ","")&amp;IF(AND(O10="",COUNTIFS(Variants!$A$3:$A$1502,A10,Variants!$K$3:$K$1502,"&lt;&gt;")=0),"price, ","")&amp;IF(T10="","image, ","")&amp;IF(B10="","category, ","")&amp;IF(N(AB10)=0,"variant, ","")&amp;IF(AND(P10="Percentage",N(Q10)&gt;100),"discount over 100%, ","")&amp;IF(AND(P10="Fixed amount",O10&lt;&gt;"",N(Q10)&gt;N(O10)),"discount over price, ","")="","Ready","Missing: "&amp;LEFT(IF(E10="","description, ","")&amp;IF(AND(O10="",COUNTIFS(Variants!$A$3:$A$1502,A10,Variants!$K$3:$K$1502,"&lt;&gt;")=0),"price, ","")&amp;IF(T10="","image, ","")&amp;IF(B10="","category, ","")&amp;IF(N(AB10)=0,"variant, ","")&amp;IF(AND(P10="Percentage",N(Q10)&gt;100),"discount over 100%, ","")&amp;IF(AND(P10="Fixed amount",O10&lt;&gt;"",N(Q10)&gt;N(O10)),"discount over price, ",""),LEN(IF(E10="","description, ","")&amp;IF(AND(O10="",COUNTIFS(Variants!$A$3:$A$1502,A10,Variants!$K$3:$K$1502,"&lt;&gt;")=0),"price, ","")&amp;IF(T10="","image, ","")&amp;IF(B10="","category, ","")&amp;IF(N(AB10)=0,"variant, ","")&amp;IF(AND(P10="Percentage",N(Q10)&gt;100),"discount over 100%, ","")&amp;IF(AND(P10="Fixed amount",O10&lt;&gt;"",N(Q10)&gt;N(O10)),"discount over price, ",""))-2)))</f>
        <v/>
      </c>
    </row>
    <row r="11" spans="1:29" x14ac:dyDescent="0.3">
      <c r="A11" s="16"/>
      <c r="B11" s="16"/>
      <c r="C11" s="16"/>
      <c r="D11" s="17"/>
      <c r="E11" s="17"/>
      <c r="F11" s="16"/>
      <c r="G11" s="16"/>
      <c r="H11" s="16"/>
      <c r="I11" s="16"/>
      <c r="J11" s="16"/>
      <c r="K11" s="16"/>
      <c r="L11" s="17"/>
      <c r="M11" s="17"/>
      <c r="N11" s="17"/>
      <c r="O11" s="18"/>
      <c r="P11" s="16"/>
      <c r="Q11" s="16"/>
      <c r="R11" s="19" t="str">
        <f t="shared" si="0"/>
        <v/>
      </c>
      <c r="S11" s="19" t="str">
        <f t="shared" si="1"/>
        <v/>
      </c>
      <c r="T11" s="17"/>
      <c r="U11" s="16"/>
      <c r="V11" s="16"/>
      <c r="W11" s="16"/>
      <c r="X11" s="16"/>
      <c r="Y11" s="16"/>
      <c r="Z11" s="16"/>
      <c r="AA11" s="16"/>
      <c r="AB11" s="20" t="str">
        <f>IF(A11="","",COUNTIF(Variants!$A$3:$A$1502,A11))</f>
        <v/>
      </c>
      <c r="AC11" s="21" t="str">
        <f>IF(A11="","",IF(IF(E11="","description, ","")&amp;IF(AND(O11="",COUNTIFS(Variants!$A$3:$A$1502,A11,Variants!$K$3:$K$1502,"&lt;&gt;")=0),"price, ","")&amp;IF(T11="","image, ","")&amp;IF(B11="","category, ","")&amp;IF(N(AB11)=0,"variant, ","")&amp;IF(AND(P11="Percentage",N(Q11)&gt;100),"discount over 100%, ","")&amp;IF(AND(P11="Fixed amount",O11&lt;&gt;"",N(Q11)&gt;N(O11)),"discount over price, ","")="","Ready","Missing: "&amp;LEFT(IF(E11="","description, ","")&amp;IF(AND(O11="",COUNTIFS(Variants!$A$3:$A$1502,A11,Variants!$K$3:$K$1502,"&lt;&gt;")=0),"price, ","")&amp;IF(T11="","image, ","")&amp;IF(B11="","category, ","")&amp;IF(N(AB11)=0,"variant, ","")&amp;IF(AND(P11="Percentage",N(Q11)&gt;100),"discount over 100%, ","")&amp;IF(AND(P11="Fixed amount",O11&lt;&gt;"",N(Q11)&gt;N(O11)),"discount over price, ",""),LEN(IF(E11="","description, ","")&amp;IF(AND(O11="",COUNTIFS(Variants!$A$3:$A$1502,A11,Variants!$K$3:$K$1502,"&lt;&gt;")=0),"price, ","")&amp;IF(T11="","image, ","")&amp;IF(B11="","category, ","")&amp;IF(N(AB11)=0,"variant, ","")&amp;IF(AND(P11="Percentage",N(Q11)&gt;100),"discount over 100%, ","")&amp;IF(AND(P11="Fixed amount",O11&lt;&gt;"",N(Q11)&gt;N(O11)),"discount over price, ",""))-2)))</f>
        <v/>
      </c>
    </row>
    <row r="12" spans="1:29" x14ac:dyDescent="0.3">
      <c r="A12" s="16"/>
      <c r="B12" s="16"/>
      <c r="C12" s="16"/>
      <c r="D12" s="17"/>
      <c r="E12" s="17"/>
      <c r="F12" s="16"/>
      <c r="G12" s="16"/>
      <c r="H12" s="16"/>
      <c r="I12" s="16"/>
      <c r="J12" s="16"/>
      <c r="K12" s="16"/>
      <c r="L12" s="17"/>
      <c r="M12" s="17"/>
      <c r="N12" s="17"/>
      <c r="O12" s="18"/>
      <c r="P12" s="16"/>
      <c r="Q12" s="16"/>
      <c r="R12" s="19" t="str">
        <f t="shared" si="0"/>
        <v/>
      </c>
      <c r="S12" s="19" t="str">
        <f t="shared" si="1"/>
        <v/>
      </c>
      <c r="T12" s="17"/>
      <c r="U12" s="16"/>
      <c r="V12" s="16"/>
      <c r="W12" s="16"/>
      <c r="X12" s="16"/>
      <c r="Y12" s="16"/>
      <c r="Z12" s="16"/>
      <c r="AA12" s="16"/>
      <c r="AB12" s="20" t="str">
        <f>IF(A12="","",COUNTIF(Variants!$A$3:$A$1502,A12))</f>
        <v/>
      </c>
      <c r="AC12" s="21" t="str">
        <f>IF(A12="","",IF(IF(E12="","description, ","")&amp;IF(AND(O12="",COUNTIFS(Variants!$A$3:$A$1502,A12,Variants!$K$3:$K$1502,"&lt;&gt;")=0),"price, ","")&amp;IF(T12="","image, ","")&amp;IF(B12="","category, ","")&amp;IF(N(AB12)=0,"variant, ","")&amp;IF(AND(P12="Percentage",N(Q12)&gt;100),"discount over 100%, ","")&amp;IF(AND(P12="Fixed amount",O12&lt;&gt;"",N(Q12)&gt;N(O12)),"discount over price, ","")="","Ready","Missing: "&amp;LEFT(IF(E12="","description, ","")&amp;IF(AND(O12="",COUNTIFS(Variants!$A$3:$A$1502,A12,Variants!$K$3:$K$1502,"&lt;&gt;")=0),"price, ","")&amp;IF(T12="","image, ","")&amp;IF(B12="","category, ","")&amp;IF(N(AB12)=0,"variant, ","")&amp;IF(AND(P12="Percentage",N(Q12)&gt;100),"discount over 100%, ","")&amp;IF(AND(P12="Fixed amount",O12&lt;&gt;"",N(Q12)&gt;N(O12)),"discount over price, ",""),LEN(IF(E12="","description, ","")&amp;IF(AND(O12="",COUNTIFS(Variants!$A$3:$A$1502,A12,Variants!$K$3:$K$1502,"&lt;&gt;")=0),"price, ","")&amp;IF(T12="","image, ","")&amp;IF(B12="","category, ","")&amp;IF(N(AB12)=0,"variant, ","")&amp;IF(AND(P12="Percentage",N(Q12)&gt;100),"discount over 100%, ","")&amp;IF(AND(P12="Fixed amount",O12&lt;&gt;"",N(Q12)&gt;N(O12)),"discount over price, ",""))-2)))</f>
        <v/>
      </c>
    </row>
    <row r="13" spans="1:29" x14ac:dyDescent="0.3">
      <c r="A13" s="16"/>
      <c r="B13" s="16"/>
      <c r="C13" s="16"/>
      <c r="D13" s="17"/>
      <c r="E13" s="17"/>
      <c r="F13" s="16"/>
      <c r="G13" s="16"/>
      <c r="H13" s="16"/>
      <c r="I13" s="16"/>
      <c r="J13" s="16"/>
      <c r="K13" s="16"/>
      <c r="L13" s="17"/>
      <c r="M13" s="17"/>
      <c r="N13" s="17"/>
      <c r="O13" s="18"/>
      <c r="P13" s="16"/>
      <c r="Q13" s="16"/>
      <c r="R13" s="19" t="str">
        <f t="shared" si="0"/>
        <v/>
      </c>
      <c r="S13" s="19" t="str">
        <f t="shared" si="1"/>
        <v/>
      </c>
      <c r="T13" s="17"/>
      <c r="U13" s="16"/>
      <c r="V13" s="16"/>
      <c r="W13" s="16"/>
      <c r="X13" s="16"/>
      <c r="Y13" s="16"/>
      <c r="Z13" s="16"/>
      <c r="AA13" s="16"/>
      <c r="AB13" s="20" t="str">
        <f>IF(A13="","",COUNTIF(Variants!$A$3:$A$1502,A13))</f>
        <v/>
      </c>
      <c r="AC13" s="21" t="str">
        <f>IF(A13="","",IF(IF(E13="","description, ","")&amp;IF(AND(O13="",COUNTIFS(Variants!$A$3:$A$1502,A13,Variants!$K$3:$K$1502,"&lt;&gt;")=0),"price, ","")&amp;IF(T13="","image, ","")&amp;IF(B13="","category, ","")&amp;IF(N(AB13)=0,"variant, ","")&amp;IF(AND(P13="Percentage",N(Q13)&gt;100),"discount over 100%, ","")&amp;IF(AND(P13="Fixed amount",O13&lt;&gt;"",N(Q13)&gt;N(O13)),"discount over price, ","")="","Ready","Missing: "&amp;LEFT(IF(E13="","description, ","")&amp;IF(AND(O13="",COUNTIFS(Variants!$A$3:$A$1502,A13,Variants!$K$3:$K$1502,"&lt;&gt;")=0),"price, ","")&amp;IF(T13="","image, ","")&amp;IF(B13="","category, ","")&amp;IF(N(AB13)=0,"variant, ","")&amp;IF(AND(P13="Percentage",N(Q13)&gt;100),"discount over 100%, ","")&amp;IF(AND(P13="Fixed amount",O13&lt;&gt;"",N(Q13)&gt;N(O13)),"discount over price, ",""),LEN(IF(E13="","description, ","")&amp;IF(AND(O13="",COUNTIFS(Variants!$A$3:$A$1502,A13,Variants!$K$3:$K$1502,"&lt;&gt;")=0),"price, ","")&amp;IF(T13="","image, ","")&amp;IF(B13="","category, ","")&amp;IF(N(AB13)=0,"variant, ","")&amp;IF(AND(P13="Percentage",N(Q13)&gt;100),"discount over 100%, ","")&amp;IF(AND(P13="Fixed amount",O13&lt;&gt;"",N(Q13)&gt;N(O13)),"discount over price, ",""))-2)))</f>
        <v/>
      </c>
    </row>
    <row r="14" spans="1:29" x14ac:dyDescent="0.3">
      <c r="A14" s="16"/>
      <c r="B14" s="16"/>
      <c r="C14" s="16"/>
      <c r="D14" s="17"/>
      <c r="E14" s="17"/>
      <c r="F14" s="16"/>
      <c r="G14" s="16"/>
      <c r="H14" s="16"/>
      <c r="I14" s="16"/>
      <c r="J14" s="16"/>
      <c r="K14" s="16"/>
      <c r="L14" s="17"/>
      <c r="M14" s="17"/>
      <c r="N14" s="17"/>
      <c r="O14" s="18"/>
      <c r="P14" s="16"/>
      <c r="Q14" s="16"/>
      <c r="R14" s="19" t="str">
        <f t="shared" si="0"/>
        <v/>
      </c>
      <c r="S14" s="19" t="str">
        <f t="shared" si="1"/>
        <v/>
      </c>
      <c r="T14" s="17"/>
      <c r="U14" s="16"/>
      <c r="V14" s="16"/>
      <c r="W14" s="16"/>
      <c r="X14" s="16"/>
      <c r="Y14" s="16"/>
      <c r="Z14" s="16"/>
      <c r="AA14" s="16"/>
      <c r="AB14" s="20" t="str">
        <f>IF(A14="","",COUNTIF(Variants!$A$3:$A$1502,A14))</f>
        <v/>
      </c>
      <c r="AC14" s="21" t="str">
        <f>IF(A14="","",IF(IF(E14="","description, ","")&amp;IF(AND(O14="",COUNTIFS(Variants!$A$3:$A$1502,A14,Variants!$K$3:$K$1502,"&lt;&gt;")=0),"price, ","")&amp;IF(T14="","image, ","")&amp;IF(B14="","category, ","")&amp;IF(N(AB14)=0,"variant, ","")&amp;IF(AND(P14="Percentage",N(Q14)&gt;100),"discount over 100%, ","")&amp;IF(AND(P14="Fixed amount",O14&lt;&gt;"",N(Q14)&gt;N(O14)),"discount over price, ","")="","Ready","Missing: "&amp;LEFT(IF(E14="","description, ","")&amp;IF(AND(O14="",COUNTIFS(Variants!$A$3:$A$1502,A14,Variants!$K$3:$K$1502,"&lt;&gt;")=0),"price, ","")&amp;IF(T14="","image, ","")&amp;IF(B14="","category, ","")&amp;IF(N(AB14)=0,"variant, ","")&amp;IF(AND(P14="Percentage",N(Q14)&gt;100),"discount over 100%, ","")&amp;IF(AND(P14="Fixed amount",O14&lt;&gt;"",N(Q14)&gt;N(O14)),"discount over price, ",""),LEN(IF(E14="","description, ","")&amp;IF(AND(O14="",COUNTIFS(Variants!$A$3:$A$1502,A14,Variants!$K$3:$K$1502,"&lt;&gt;")=0),"price, ","")&amp;IF(T14="","image, ","")&amp;IF(B14="","category, ","")&amp;IF(N(AB14)=0,"variant, ","")&amp;IF(AND(P14="Percentage",N(Q14)&gt;100),"discount over 100%, ","")&amp;IF(AND(P14="Fixed amount",O14&lt;&gt;"",N(Q14)&gt;N(O14)),"discount over price, ",""))-2)))</f>
        <v/>
      </c>
    </row>
    <row r="15" spans="1:29" x14ac:dyDescent="0.3">
      <c r="A15" s="16"/>
      <c r="B15" s="16"/>
      <c r="C15" s="16"/>
      <c r="D15" s="17"/>
      <c r="E15" s="17"/>
      <c r="F15" s="16"/>
      <c r="G15" s="16"/>
      <c r="H15" s="16"/>
      <c r="I15" s="16"/>
      <c r="J15" s="16"/>
      <c r="K15" s="16"/>
      <c r="L15" s="17"/>
      <c r="M15" s="17"/>
      <c r="N15" s="17"/>
      <c r="O15" s="18"/>
      <c r="P15" s="16"/>
      <c r="Q15" s="16"/>
      <c r="R15" s="19" t="str">
        <f t="shared" si="0"/>
        <v/>
      </c>
      <c r="S15" s="19" t="str">
        <f t="shared" si="1"/>
        <v/>
      </c>
      <c r="T15" s="17"/>
      <c r="U15" s="16"/>
      <c r="V15" s="16"/>
      <c r="W15" s="16"/>
      <c r="X15" s="16"/>
      <c r="Y15" s="16"/>
      <c r="Z15" s="16"/>
      <c r="AA15" s="16"/>
      <c r="AB15" s="20" t="str">
        <f>IF(A15="","",COUNTIF(Variants!$A$3:$A$1502,A15))</f>
        <v/>
      </c>
      <c r="AC15" s="21" t="str">
        <f>IF(A15="","",IF(IF(E15="","description, ","")&amp;IF(AND(O15="",COUNTIFS(Variants!$A$3:$A$1502,A15,Variants!$K$3:$K$1502,"&lt;&gt;")=0),"price, ","")&amp;IF(T15="","image, ","")&amp;IF(B15="","category, ","")&amp;IF(N(AB15)=0,"variant, ","")&amp;IF(AND(P15="Percentage",N(Q15)&gt;100),"discount over 100%, ","")&amp;IF(AND(P15="Fixed amount",O15&lt;&gt;"",N(Q15)&gt;N(O15)),"discount over price, ","")="","Ready","Missing: "&amp;LEFT(IF(E15="","description, ","")&amp;IF(AND(O15="",COUNTIFS(Variants!$A$3:$A$1502,A15,Variants!$K$3:$K$1502,"&lt;&gt;")=0),"price, ","")&amp;IF(T15="","image, ","")&amp;IF(B15="","category, ","")&amp;IF(N(AB15)=0,"variant, ","")&amp;IF(AND(P15="Percentage",N(Q15)&gt;100),"discount over 100%, ","")&amp;IF(AND(P15="Fixed amount",O15&lt;&gt;"",N(Q15)&gt;N(O15)),"discount over price, ",""),LEN(IF(E15="","description, ","")&amp;IF(AND(O15="",COUNTIFS(Variants!$A$3:$A$1502,A15,Variants!$K$3:$K$1502,"&lt;&gt;")=0),"price, ","")&amp;IF(T15="","image, ","")&amp;IF(B15="","category, ","")&amp;IF(N(AB15)=0,"variant, ","")&amp;IF(AND(P15="Percentage",N(Q15)&gt;100),"discount over 100%, ","")&amp;IF(AND(P15="Fixed amount",O15&lt;&gt;"",N(Q15)&gt;N(O15)),"discount over price, ",""))-2)))</f>
        <v/>
      </c>
    </row>
    <row r="16" spans="1:29" x14ac:dyDescent="0.3">
      <c r="A16" s="16"/>
      <c r="B16" s="16"/>
      <c r="C16" s="16"/>
      <c r="D16" s="17"/>
      <c r="E16" s="17"/>
      <c r="F16" s="16"/>
      <c r="G16" s="16"/>
      <c r="H16" s="16"/>
      <c r="I16" s="16"/>
      <c r="J16" s="16"/>
      <c r="K16" s="16"/>
      <c r="L16" s="17"/>
      <c r="M16" s="17"/>
      <c r="N16" s="17"/>
      <c r="O16" s="18"/>
      <c r="P16" s="16"/>
      <c r="Q16" s="16"/>
      <c r="R16" s="19" t="str">
        <f t="shared" si="0"/>
        <v/>
      </c>
      <c r="S16" s="19" t="str">
        <f t="shared" si="1"/>
        <v/>
      </c>
      <c r="T16" s="17"/>
      <c r="U16" s="16"/>
      <c r="V16" s="16"/>
      <c r="W16" s="16"/>
      <c r="X16" s="16"/>
      <c r="Y16" s="16"/>
      <c r="Z16" s="16"/>
      <c r="AA16" s="16"/>
      <c r="AB16" s="20" t="str">
        <f>IF(A16="","",COUNTIF(Variants!$A$3:$A$1502,A16))</f>
        <v/>
      </c>
      <c r="AC16" s="21" t="str">
        <f>IF(A16="","",IF(IF(E16="","description, ","")&amp;IF(AND(O16="",COUNTIFS(Variants!$A$3:$A$1502,A16,Variants!$K$3:$K$1502,"&lt;&gt;")=0),"price, ","")&amp;IF(T16="","image, ","")&amp;IF(B16="","category, ","")&amp;IF(N(AB16)=0,"variant, ","")&amp;IF(AND(P16="Percentage",N(Q16)&gt;100),"discount over 100%, ","")&amp;IF(AND(P16="Fixed amount",O16&lt;&gt;"",N(Q16)&gt;N(O16)),"discount over price, ","")="","Ready","Missing: "&amp;LEFT(IF(E16="","description, ","")&amp;IF(AND(O16="",COUNTIFS(Variants!$A$3:$A$1502,A16,Variants!$K$3:$K$1502,"&lt;&gt;")=0),"price, ","")&amp;IF(T16="","image, ","")&amp;IF(B16="","category, ","")&amp;IF(N(AB16)=0,"variant, ","")&amp;IF(AND(P16="Percentage",N(Q16)&gt;100),"discount over 100%, ","")&amp;IF(AND(P16="Fixed amount",O16&lt;&gt;"",N(Q16)&gt;N(O16)),"discount over price, ",""),LEN(IF(E16="","description, ","")&amp;IF(AND(O16="",COUNTIFS(Variants!$A$3:$A$1502,A16,Variants!$K$3:$K$1502,"&lt;&gt;")=0),"price, ","")&amp;IF(T16="","image, ","")&amp;IF(B16="","category, ","")&amp;IF(N(AB16)=0,"variant, ","")&amp;IF(AND(P16="Percentage",N(Q16)&gt;100),"discount over 100%, ","")&amp;IF(AND(P16="Fixed amount",O16&lt;&gt;"",N(Q16)&gt;N(O16)),"discount over price, ",""))-2)))</f>
        <v/>
      </c>
    </row>
    <row r="17" spans="1:29" x14ac:dyDescent="0.3">
      <c r="A17" s="16"/>
      <c r="B17" s="16"/>
      <c r="C17" s="16"/>
      <c r="D17" s="17"/>
      <c r="E17" s="17"/>
      <c r="F17" s="16"/>
      <c r="G17" s="16"/>
      <c r="H17" s="16"/>
      <c r="I17" s="16"/>
      <c r="J17" s="16"/>
      <c r="K17" s="16"/>
      <c r="L17" s="17"/>
      <c r="M17" s="17"/>
      <c r="N17" s="17"/>
      <c r="O17" s="18"/>
      <c r="P17" s="16"/>
      <c r="Q17" s="16"/>
      <c r="R17" s="19" t="str">
        <f t="shared" si="0"/>
        <v/>
      </c>
      <c r="S17" s="19" t="str">
        <f t="shared" si="1"/>
        <v/>
      </c>
      <c r="T17" s="17"/>
      <c r="U17" s="16"/>
      <c r="V17" s="16"/>
      <c r="W17" s="16"/>
      <c r="X17" s="16"/>
      <c r="Y17" s="16"/>
      <c r="Z17" s="16"/>
      <c r="AA17" s="16"/>
      <c r="AB17" s="20" t="str">
        <f>IF(A17="","",COUNTIF(Variants!$A$3:$A$1502,A17))</f>
        <v/>
      </c>
      <c r="AC17" s="21" t="str">
        <f>IF(A17="","",IF(IF(E17="","description, ","")&amp;IF(AND(O17="",COUNTIFS(Variants!$A$3:$A$1502,A17,Variants!$K$3:$K$1502,"&lt;&gt;")=0),"price, ","")&amp;IF(T17="","image, ","")&amp;IF(B17="","category, ","")&amp;IF(N(AB17)=0,"variant, ","")&amp;IF(AND(P17="Percentage",N(Q17)&gt;100),"discount over 100%, ","")&amp;IF(AND(P17="Fixed amount",O17&lt;&gt;"",N(Q17)&gt;N(O17)),"discount over price, ","")="","Ready","Missing: "&amp;LEFT(IF(E17="","description, ","")&amp;IF(AND(O17="",COUNTIFS(Variants!$A$3:$A$1502,A17,Variants!$K$3:$K$1502,"&lt;&gt;")=0),"price, ","")&amp;IF(T17="","image, ","")&amp;IF(B17="","category, ","")&amp;IF(N(AB17)=0,"variant, ","")&amp;IF(AND(P17="Percentage",N(Q17)&gt;100),"discount over 100%, ","")&amp;IF(AND(P17="Fixed amount",O17&lt;&gt;"",N(Q17)&gt;N(O17)),"discount over price, ",""),LEN(IF(E17="","description, ","")&amp;IF(AND(O17="",COUNTIFS(Variants!$A$3:$A$1502,A17,Variants!$K$3:$K$1502,"&lt;&gt;")=0),"price, ","")&amp;IF(T17="","image, ","")&amp;IF(B17="","category, ","")&amp;IF(N(AB17)=0,"variant, ","")&amp;IF(AND(P17="Percentage",N(Q17)&gt;100),"discount over 100%, ","")&amp;IF(AND(P17="Fixed amount",O17&lt;&gt;"",N(Q17)&gt;N(O17)),"discount over price, ",""))-2)))</f>
        <v/>
      </c>
    </row>
    <row r="18" spans="1:29" x14ac:dyDescent="0.3">
      <c r="A18" s="16"/>
      <c r="B18" s="16"/>
      <c r="C18" s="16"/>
      <c r="D18" s="17"/>
      <c r="E18" s="17"/>
      <c r="F18" s="16"/>
      <c r="G18" s="16"/>
      <c r="H18" s="16"/>
      <c r="I18" s="16"/>
      <c r="J18" s="16"/>
      <c r="K18" s="16"/>
      <c r="L18" s="17"/>
      <c r="M18" s="17"/>
      <c r="N18" s="17"/>
      <c r="O18" s="18"/>
      <c r="P18" s="16"/>
      <c r="Q18" s="16"/>
      <c r="R18" s="19" t="str">
        <f t="shared" si="0"/>
        <v/>
      </c>
      <c r="S18" s="19" t="str">
        <f t="shared" si="1"/>
        <v/>
      </c>
      <c r="T18" s="17"/>
      <c r="U18" s="16"/>
      <c r="V18" s="16"/>
      <c r="W18" s="16"/>
      <c r="X18" s="16"/>
      <c r="Y18" s="16"/>
      <c r="Z18" s="16"/>
      <c r="AA18" s="16"/>
      <c r="AB18" s="20" t="str">
        <f>IF(A18="","",COUNTIF(Variants!$A$3:$A$1502,A18))</f>
        <v/>
      </c>
      <c r="AC18" s="21" t="str">
        <f>IF(A18="","",IF(IF(E18="","description, ","")&amp;IF(AND(O18="",COUNTIFS(Variants!$A$3:$A$1502,A18,Variants!$K$3:$K$1502,"&lt;&gt;")=0),"price, ","")&amp;IF(T18="","image, ","")&amp;IF(B18="","category, ","")&amp;IF(N(AB18)=0,"variant, ","")&amp;IF(AND(P18="Percentage",N(Q18)&gt;100),"discount over 100%, ","")&amp;IF(AND(P18="Fixed amount",O18&lt;&gt;"",N(Q18)&gt;N(O18)),"discount over price, ","")="","Ready","Missing: "&amp;LEFT(IF(E18="","description, ","")&amp;IF(AND(O18="",COUNTIFS(Variants!$A$3:$A$1502,A18,Variants!$K$3:$K$1502,"&lt;&gt;")=0),"price, ","")&amp;IF(T18="","image, ","")&amp;IF(B18="","category, ","")&amp;IF(N(AB18)=0,"variant, ","")&amp;IF(AND(P18="Percentage",N(Q18)&gt;100),"discount over 100%, ","")&amp;IF(AND(P18="Fixed amount",O18&lt;&gt;"",N(Q18)&gt;N(O18)),"discount over price, ",""),LEN(IF(E18="","description, ","")&amp;IF(AND(O18="",COUNTIFS(Variants!$A$3:$A$1502,A18,Variants!$K$3:$K$1502,"&lt;&gt;")=0),"price, ","")&amp;IF(T18="","image, ","")&amp;IF(B18="","category, ","")&amp;IF(N(AB18)=0,"variant, ","")&amp;IF(AND(P18="Percentage",N(Q18)&gt;100),"discount over 100%, ","")&amp;IF(AND(P18="Fixed amount",O18&lt;&gt;"",N(Q18)&gt;N(O18)),"discount over price, ",""))-2)))</f>
        <v/>
      </c>
    </row>
    <row r="19" spans="1:29" x14ac:dyDescent="0.3">
      <c r="A19" s="16"/>
      <c r="B19" s="16"/>
      <c r="C19" s="16"/>
      <c r="D19" s="17"/>
      <c r="E19" s="17"/>
      <c r="F19" s="16"/>
      <c r="G19" s="16"/>
      <c r="H19" s="16"/>
      <c r="I19" s="16"/>
      <c r="J19" s="16"/>
      <c r="K19" s="16"/>
      <c r="L19" s="17"/>
      <c r="M19" s="17"/>
      <c r="N19" s="17"/>
      <c r="O19" s="18"/>
      <c r="P19" s="16"/>
      <c r="Q19" s="16"/>
      <c r="R19" s="19" t="str">
        <f t="shared" si="0"/>
        <v/>
      </c>
      <c r="S19" s="19" t="str">
        <f t="shared" si="1"/>
        <v/>
      </c>
      <c r="T19" s="17"/>
      <c r="U19" s="16"/>
      <c r="V19" s="16"/>
      <c r="W19" s="16"/>
      <c r="X19" s="16"/>
      <c r="Y19" s="16"/>
      <c r="Z19" s="16"/>
      <c r="AA19" s="16"/>
      <c r="AB19" s="20" t="str">
        <f>IF(A19="","",COUNTIF(Variants!$A$3:$A$1502,A19))</f>
        <v/>
      </c>
      <c r="AC19" s="21" t="str">
        <f>IF(A19="","",IF(IF(E19="","description, ","")&amp;IF(AND(O19="",COUNTIFS(Variants!$A$3:$A$1502,A19,Variants!$K$3:$K$1502,"&lt;&gt;")=0),"price, ","")&amp;IF(T19="","image, ","")&amp;IF(B19="","category, ","")&amp;IF(N(AB19)=0,"variant, ","")&amp;IF(AND(P19="Percentage",N(Q19)&gt;100),"discount over 100%, ","")&amp;IF(AND(P19="Fixed amount",O19&lt;&gt;"",N(Q19)&gt;N(O19)),"discount over price, ","")="","Ready","Missing: "&amp;LEFT(IF(E19="","description, ","")&amp;IF(AND(O19="",COUNTIFS(Variants!$A$3:$A$1502,A19,Variants!$K$3:$K$1502,"&lt;&gt;")=0),"price, ","")&amp;IF(T19="","image, ","")&amp;IF(B19="","category, ","")&amp;IF(N(AB19)=0,"variant, ","")&amp;IF(AND(P19="Percentage",N(Q19)&gt;100),"discount over 100%, ","")&amp;IF(AND(P19="Fixed amount",O19&lt;&gt;"",N(Q19)&gt;N(O19)),"discount over price, ",""),LEN(IF(E19="","description, ","")&amp;IF(AND(O19="",COUNTIFS(Variants!$A$3:$A$1502,A19,Variants!$K$3:$K$1502,"&lt;&gt;")=0),"price, ","")&amp;IF(T19="","image, ","")&amp;IF(B19="","category, ","")&amp;IF(N(AB19)=0,"variant, ","")&amp;IF(AND(P19="Percentage",N(Q19)&gt;100),"discount over 100%, ","")&amp;IF(AND(P19="Fixed amount",O19&lt;&gt;"",N(Q19)&gt;N(O19)),"discount over price, ",""))-2)))</f>
        <v/>
      </c>
    </row>
    <row r="20" spans="1:29" x14ac:dyDescent="0.3">
      <c r="A20" s="16"/>
      <c r="B20" s="16"/>
      <c r="C20" s="16"/>
      <c r="D20" s="17"/>
      <c r="E20" s="17"/>
      <c r="F20" s="16"/>
      <c r="G20" s="16"/>
      <c r="H20" s="16"/>
      <c r="I20" s="16"/>
      <c r="J20" s="16"/>
      <c r="K20" s="16"/>
      <c r="L20" s="17"/>
      <c r="M20" s="17"/>
      <c r="N20" s="17"/>
      <c r="O20" s="18"/>
      <c r="P20" s="16"/>
      <c r="Q20" s="16"/>
      <c r="R20" s="19" t="str">
        <f t="shared" si="0"/>
        <v/>
      </c>
      <c r="S20" s="19" t="str">
        <f t="shared" si="1"/>
        <v/>
      </c>
      <c r="T20" s="17"/>
      <c r="U20" s="16"/>
      <c r="V20" s="16"/>
      <c r="W20" s="16"/>
      <c r="X20" s="16"/>
      <c r="Y20" s="16"/>
      <c r="Z20" s="16"/>
      <c r="AA20" s="16"/>
      <c r="AB20" s="20" t="str">
        <f>IF(A20="","",COUNTIF(Variants!$A$3:$A$1502,A20))</f>
        <v/>
      </c>
      <c r="AC20" s="21" t="str">
        <f>IF(A20="","",IF(IF(E20="","description, ","")&amp;IF(AND(O20="",COUNTIFS(Variants!$A$3:$A$1502,A20,Variants!$K$3:$K$1502,"&lt;&gt;")=0),"price, ","")&amp;IF(T20="","image, ","")&amp;IF(B20="","category, ","")&amp;IF(N(AB20)=0,"variant, ","")&amp;IF(AND(P20="Percentage",N(Q20)&gt;100),"discount over 100%, ","")&amp;IF(AND(P20="Fixed amount",O20&lt;&gt;"",N(Q20)&gt;N(O20)),"discount over price, ","")="","Ready","Missing: "&amp;LEFT(IF(E20="","description, ","")&amp;IF(AND(O20="",COUNTIFS(Variants!$A$3:$A$1502,A20,Variants!$K$3:$K$1502,"&lt;&gt;")=0),"price, ","")&amp;IF(T20="","image, ","")&amp;IF(B20="","category, ","")&amp;IF(N(AB20)=0,"variant, ","")&amp;IF(AND(P20="Percentage",N(Q20)&gt;100),"discount over 100%, ","")&amp;IF(AND(P20="Fixed amount",O20&lt;&gt;"",N(Q20)&gt;N(O20)),"discount over price, ",""),LEN(IF(E20="","description, ","")&amp;IF(AND(O20="",COUNTIFS(Variants!$A$3:$A$1502,A20,Variants!$K$3:$K$1502,"&lt;&gt;")=0),"price, ","")&amp;IF(T20="","image, ","")&amp;IF(B20="","category, ","")&amp;IF(N(AB20)=0,"variant, ","")&amp;IF(AND(P20="Percentage",N(Q20)&gt;100),"discount over 100%, ","")&amp;IF(AND(P20="Fixed amount",O20&lt;&gt;"",N(Q20)&gt;N(O20)),"discount over price, ",""))-2)))</f>
        <v/>
      </c>
    </row>
    <row r="21" spans="1:29" x14ac:dyDescent="0.3">
      <c r="A21" s="16"/>
      <c r="B21" s="16"/>
      <c r="C21" s="16"/>
      <c r="D21" s="17"/>
      <c r="E21" s="17"/>
      <c r="F21" s="16"/>
      <c r="G21" s="16"/>
      <c r="H21" s="16"/>
      <c r="I21" s="16"/>
      <c r="J21" s="16"/>
      <c r="K21" s="16"/>
      <c r="L21" s="17"/>
      <c r="M21" s="17"/>
      <c r="N21" s="17"/>
      <c r="O21" s="18"/>
      <c r="P21" s="16"/>
      <c r="Q21" s="16"/>
      <c r="R21" s="19" t="str">
        <f t="shared" si="0"/>
        <v/>
      </c>
      <c r="S21" s="19" t="str">
        <f t="shared" si="1"/>
        <v/>
      </c>
      <c r="T21" s="17"/>
      <c r="U21" s="16"/>
      <c r="V21" s="16"/>
      <c r="W21" s="16"/>
      <c r="X21" s="16"/>
      <c r="Y21" s="16"/>
      <c r="Z21" s="16"/>
      <c r="AA21" s="16"/>
      <c r="AB21" s="20" t="str">
        <f>IF(A21="","",COUNTIF(Variants!$A$3:$A$1502,A21))</f>
        <v/>
      </c>
      <c r="AC21" s="21" t="str">
        <f>IF(A21="","",IF(IF(E21="","description, ","")&amp;IF(AND(O21="",COUNTIFS(Variants!$A$3:$A$1502,A21,Variants!$K$3:$K$1502,"&lt;&gt;")=0),"price, ","")&amp;IF(T21="","image, ","")&amp;IF(B21="","category, ","")&amp;IF(N(AB21)=0,"variant, ","")&amp;IF(AND(P21="Percentage",N(Q21)&gt;100),"discount over 100%, ","")&amp;IF(AND(P21="Fixed amount",O21&lt;&gt;"",N(Q21)&gt;N(O21)),"discount over price, ","")="","Ready","Missing: "&amp;LEFT(IF(E21="","description, ","")&amp;IF(AND(O21="",COUNTIFS(Variants!$A$3:$A$1502,A21,Variants!$K$3:$K$1502,"&lt;&gt;")=0),"price, ","")&amp;IF(T21="","image, ","")&amp;IF(B21="","category, ","")&amp;IF(N(AB21)=0,"variant, ","")&amp;IF(AND(P21="Percentage",N(Q21)&gt;100),"discount over 100%, ","")&amp;IF(AND(P21="Fixed amount",O21&lt;&gt;"",N(Q21)&gt;N(O21)),"discount over price, ",""),LEN(IF(E21="","description, ","")&amp;IF(AND(O21="",COUNTIFS(Variants!$A$3:$A$1502,A21,Variants!$K$3:$K$1502,"&lt;&gt;")=0),"price, ","")&amp;IF(T21="","image, ","")&amp;IF(B21="","category, ","")&amp;IF(N(AB21)=0,"variant, ","")&amp;IF(AND(P21="Percentage",N(Q21)&gt;100),"discount over 100%, ","")&amp;IF(AND(P21="Fixed amount",O21&lt;&gt;"",N(Q21)&gt;N(O21)),"discount over price, ",""))-2)))</f>
        <v/>
      </c>
    </row>
    <row r="22" spans="1:29" x14ac:dyDescent="0.3">
      <c r="A22" s="16"/>
      <c r="B22" s="16"/>
      <c r="C22" s="16"/>
      <c r="D22" s="17"/>
      <c r="E22" s="17"/>
      <c r="F22" s="16"/>
      <c r="G22" s="16"/>
      <c r="H22" s="16"/>
      <c r="I22" s="16"/>
      <c r="J22" s="16"/>
      <c r="K22" s="16"/>
      <c r="L22" s="17"/>
      <c r="M22" s="17"/>
      <c r="N22" s="17"/>
      <c r="O22" s="18"/>
      <c r="P22" s="16"/>
      <c r="Q22" s="16"/>
      <c r="R22" s="19" t="str">
        <f t="shared" si="0"/>
        <v/>
      </c>
      <c r="S22" s="19" t="str">
        <f t="shared" si="1"/>
        <v/>
      </c>
      <c r="T22" s="17"/>
      <c r="U22" s="16"/>
      <c r="V22" s="16"/>
      <c r="W22" s="16"/>
      <c r="X22" s="16"/>
      <c r="Y22" s="16"/>
      <c r="Z22" s="16"/>
      <c r="AA22" s="16"/>
      <c r="AB22" s="20" t="str">
        <f>IF(A22="","",COUNTIF(Variants!$A$3:$A$1502,A22))</f>
        <v/>
      </c>
      <c r="AC22" s="21" t="str">
        <f>IF(A22="","",IF(IF(E22="","description, ","")&amp;IF(AND(O22="",COUNTIFS(Variants!$A$3:$A$1502,A22,Variants!$K$3:$K$1502,"&lt;&gt;")=0),"price, ","")&amp;IF(T22="","image, ","")&amp;IF(B22="","category, ","")&amp;IF(N(AB22)=0,"variant, ","")&amp;IF(AND(P22="Percentage",N(Q22)&gt;100),"discount over 100%, ","")&amp;IF(AND(P22="Fixed amount",O22&lt;&gt;"",N(Q22)&gt;N(O22)),"discount over price, ","")="","Ready","Missing: "&amp;LEFT(IF(E22="","description, ","")&amp;IF(AND(O22="",COUNTIFS(Variants!$A$3:$A$1502,A22,Variants!$K$3:$K$1502,"&lt;&gt;")=0),"price, ","")&amp;IF(T22="","image, ","")&amp;IF(B22="","category, ","")&amp;IF(N(AB22)=0,"variant, ","")&amp;IF(AND(P22="Percentage",N(Q22)&gt;100),"discount over 100%, ","")&amp;IF(AND(P22="Fixed amount",O22&lt;&gt;"",N(Q22)&gt;N(O22)),"discount over price, ",""),LEN(IF(E22="","description, ","")&amp;IF(AND(O22="",COUNTIFS(Variants!$A$3:$A$1502,A22,Variants!$K$3:$K$1502,"&lt;&gt;")=0),"price, ","")&amp;IF(T22="","image, ","")&amp;IF(B22="","category, ","")&amp;IF(N(AB22)=0,"variant, ","")&amp;IF(AND(P22="Percentage",N(Q22)&gt;100),"discount over 100%, ","")&amp;IF(AND(P22="Fixed amount",O22&lt;&gt;"",N(Q22)&gt;N(O22)),"discount over price, ",""))-2)))</f>
        <v/>
      </c>
    </row>
    <row r="23" spans="1:29" x14ac:dyDescent="0.3">
      <c r="A23" s="16"/>
      <c r="B23" s="16"/>
      <c r="C23" s="16"/>
      <c r="D23" s="17"/>
      <c r="E23" s="17"/>
      <c r="F23" s="16"/>
      <c r="G23" s="16"/>
      <c r="H23" s="16"/>
      <c r="I23" s="16"/>
      <c r="J23" s="16"/>
      <c r="K23" s="16"/>
      <c r="L23" s="17"/>
      <c r="M23" s="17"/>
      <c r="N23" s="17"/>
      <c r="O23" s="18"/>
      <c r="P23" s="16"/>
      <c r="Q23" s="16"/>
      <c r="R23" s="19" t="str">
        <f t="shared" si="0"/>
        <v/>
      </c>
      <c r="S23" s="19" t="str">
        <f t="shared" si="1"/>
        <v/>
      </c>
      <c r="T23" s="17"/>
      <c r="U23" s="16"/>
      <c r="V23" s="16"/>
      <c r="W23" s="16"/>
      <c r="X23" s="16"/>
      <c r="Y23" s="16"/>
      <c r="Z23" s="16"/>
      <c r="AA23" s="16"/>
      <c r="AB23" s="20" t="str">
        <f>IF(A23="","",COUNTIF(Variants!$A$3:$A$1502,A23))</f>
        <v/>
      </c>
      <c r="AC23" s="21" t="str">
        <f>IF(A23="","",IF(IF(E23="","description, ","")&amp;IF(AND(O23="",COUNTIFS(Variants!$A$3:$A$1502,A23,Variants!$K$3:$K$1502,"&lt;&gt;")=0),"price, ","")&amp;IF(T23="","image, ","")&amp;IF(B23="","category, ","")&amp;IF(N(AB23)=0,"variant, ","")&amp;IF(AND(P23="Percentage",N(Q23)&gt;100),"discount over 100%, ","")&amp;IF(AND(P23="Fixed amount",O23&lt;&gt;"",N(Q23)&gt;N(O23)),"discount over price, ","")="","Ready","Missing: "&amp;LEFT(IF(E23="","description, ","")&amp;IF(AND(O23="",COUNTIFS(Variants!$A$3:$A$1502,A23,Variants!$K$3:$K$1502,"&lt;&gt;")=0),"price, ","")&amp;IF(T23="","image, ","")&amp;IF(B23="","category, ","")&amp;IF(N(AB23)=0,"variant, ","")&amp;IF(AND(P23="Percentage",N(Q23)&gt;100),"discount over 100%, ","")&amp;IF(AND(P23="Fixed amount",O23&lt;&gt;"",N(Q23)&gt;N(O23)),"discount over price, ",""),LEN(IF(E23="","description, ","")&amp;IF(AND(O23="",COUNTIFS(Variants!$A$3:$A$1502,A23,Variants!$K$3:$K$1502,"&lt;&gt;")=0),"price, ","")&amp;IF(T23="","image, ","")&amp;IF(B23="","category, ","")&amp;IF(N(AB23)=0,"variant, ","")&amp;IF(AND(P23="Percentage",N(Q23)&gt;100),"discount over 100%, ","")&amp;IF(AND(P23="Fixed amount",O23&lt;&gt;"",N(Q23)&gt;N(O23)),"discount over price, ",""))-2)))</f>
        <v/>
      </c>
    </row>
    <row r="24" spans="1:29" x14ac:dyDescent="0.3">
      <c r="A24" s="16"/>
      <c r="B24" s="16"/>
      <c r="C24" s="16"/>
      <c r="D24" s="17"/>
      <c r="E24" s="17"/>
      <c r="F24" s="16"/>
      <c r="G24" s="16"/>
      <c r="H24" s="16"/>
      <c r="I24" s="16"/>
      <c r="J24" s="16"/>
      <c r="K24" s="16"/>
      <c r="L24" s="17"/>
      <c r="M24" s="17"/>
      <c r="N24" s="17"/>
      <c r="O24" s="18"/>
      <c r="P24" s="16"/>
      <c r="Q24" s="16"/>
      <c r="R24" s="19" t="str">
        <f t="shared" si="0"/>
        <v/>
      </c>
      <c r="S24" s="19" t="str">
        <f t="shared" si="1"/>
        <v/>
      </c>
      <c r="T24" s="17"/>
      <c r="U24" s="16"/>
      <c r="V24" s="16"/>
      <c r="W24" s="16"/>
      <c r="X24" s="16"/>
      <c r="Y24" s="16"/>
      <c r="Z24" s="16"/>
      <c r="AA24" s="16"/>
      <c r="AB24" s="20" t="str">
        <f>IF(A24="","",COUNTIF(Variants!$A$3:$A$1502,A24))</f>
        <v/>
      </c>
      <c r="AC24" s="21" t="str">
        <f>IF(A24="","",IF(IF(E24="","description, ","")&amp;IF(AND(O24="",COUNTIFS(Variants!$A$3:$A$1502,A24,Variants!$K$3:$K$1502,"&lt;&gt;")=0),"price, ","")&amp;IF(T24="","image, ","")&amp;IF(B24="","category, ","")&amp;IF(N(AB24)=0,"variant, ","")&amp;IF(AND(P24="Percentage",N(Q24)&gt;100),"discount over 100%, ","")&amp;IF(AND(P24="Fixed amount",O24&lt;&gt;"",N(Q24)&gt;N(O24)),"discount over price, ","")="","Ready","Missing: "&amp;LEFT(IF(E24="","description, ","")&amp;IF(AND(O24="",COUNTIFS(Variants!$A$3:$A$1502,A24,Variants!$K$3:$K$1502,"&lt;&gt;")=0),"price, ","")&amp;IF(T24="","image, ","")&amp;IF(B24="","category, ","")&amp;IF(N(AB24)=0,"variant, ","")&amp;IF(AND(P24="Percentage",N(Q24)&gt;100),"discount over 100%, ","")&amp;IF(AND(P24="Fixed amount",O24&lt;&gt;"",N(Q24)&gt;N(O24)),"discount over price, ",""),LEN(IF(E24="","description, ","")&amp;IF(AND(O24="",COUNTIFS(Variants!$A$3:$A$1502,A24,Variants!$K$3:$K$1502,"&lt;&gt;")=0),"price, ","")&amp;IF(T24="","image, ","")&amp;IF(B24="","category, ","")&amp;IF(N(AB24)=0,"variant, ","")&amp;IF(AND(P24="Percentage",N(Q24)&gt;100),"discount over 100%, ","")&amp;IF(AND(P24="Fixed amount",O24&lt;&gt;"",N(Q24)&gt;N(O24)),"discount over price, ",""))-2)))</f>
        <v/>
      </c>
    </row>
    <row r="25" spans="1:29" x14ac:dyDescent="0.3">
      <c r="A25" s="16"/>
      <c r="B25" s="16"/>
      <c r="C25" s="16"/>
      <c r="D25" s="17"/>
      <c r="E25" s="17"/>
      <c r="F25" s="16"/>
      <c r="G25" s="16"/>
      <c r="H25" s="16"/>
      <c r="I25" s="16"/>
      <c r="J25" s="16"/>
      <c r="K25" s="16"/>
      <c r="L25" s="17"/>
      <c r="M25" s="17"/>
      <c r="N25" s="17"/>
      <c r="O25" s="18"/>
      <c r="P25" s="16"/>
      <c r="Q25" s="16"/>
      <c r="R25" s="19" t="str">
        <f t="shared" si="0"/>
        <v/>
      </c>
      <c r="S25" s="19" t="str">
        <f t="shared" si="1"/>
        <v/>
      </c>
      <c r="T25" s="17"/>
      <c r="U25" s="16"/>
      <c r="V25" s="16"/>
      <c r="W25" s="16"/>
      <c r="X25" s="16"/>
      <c r="Y25" s="16"/>
      <c r="Z25" s="16"/>
      <c r="AA25" s="16"/>
      <c r="AB25" s="20" t="str">
        <f>IF(A25="","",COUNTIF(Variants!$A$3:$A$1502,A25))</f>
        <v/>
      </c>
      <c r="AC25" s="21" t="str">
        <f>IF(A25="","",IF(IF(E25="","description, ","")&amp;IF(AND(O25="",COUNTIFS(Variants!$A$3:$A$1502,A25,Variants!$K$3:$K$1502,"&lt;&gt;")=0),"price, ","")&amp;IF(T25="","image, ","")&amp;IF(B25="","category, ","")&amp;IF(N(AB25)=0,"variant, ","")&amp;IF(AND(P25="Percentage",N(Q25)&gt;100),"discount over 100%, ","")&amp;IF(AND(P25="Fixed amount",O25&lt;&gt;"",N(Q25)&gt;N(O25)),"discount over price, ","")="","Ready","Missing: "&amp;LEFT(IF(E25="","description, ","")&amp;IF(AND(O25="",COUNTIFS(Variants!$A$3:$A$1502,A25,Variants!$K$3:$K$1502,"&lt;&gt;")=0),"price, ","")&amp;IF(T25="","image, ","")&amp;IF(B25="","category, ","")&amp;IF(N(AB25)=0,"variant, ","")&amp;IF(AND(P25="Percentage",N(Q25)&gt;100),"discount over 100%, ","")&amp;IF(AND(P25="Fixed amount",O25&lt;&gt;"",N(Q25)&gt;N(O25)),"discount over price, ",""),LEN(IF(E25="","description, ","")&amp;IF(AND(O25="",COUNTIFS(Variants!$A$3:$A$1502,A25,Variants!$K$3:$K$1502,"&lt;&gt;")=0),"price, ","")&amp;IF(T25="","image, ","")&amp;IF(B25="","category, ","")&amp;IF(N(AB25)=0,"variant, ","")&amp;IF(AND(P25="Percentage",N(Q25)&gt;100),"discount over 100%, ","")&amp;IF(AND(P25="Fixed amount",O25&lt;&gt;"",N(Q25)&gt;N(O25)),"discount over price, ",""))-2)))</f>
        <v/>
      </c>
    </row>
    <row r="26" spans="1:29" x14ac:dyDescent="0.3">
      <c r="A26" s="16"/>
      <c r="B26" s="16"/>
      <c r="C26" s="16"/>
      <c r="D26" s="17"/>
      <c r="E26" s="17"/>
      <c r="F26" s="16"/>
      <c r="G26" s="16"/>
      <c r="H26" s="16"/>
      <c r="I26" s="16"/>
      <c r="J26" s="16"/>
      <c r="K26" s="16"/>
      <c r="L26" s="17"/>
      <c r="M26" s="17"/>
      <c r="N26" s="17"/>
      <c r="O26" s="18"/>
      <c r="P26" s="16"/>
      <c r="Q26" s="16"/>
      <c r="R26" s="19" t="str">
        <f t="shared" si="0"/>
        <v/>
      </c>
      <c r="S26" s="19" t="str">
        <f t="shared" si="1"/>
        <v/>
      </c>
      <c r="T26" s="17"/>
      <c r="U26" s="16"/>
      <c r="V26" s="16"/>
      <c r="W26" s="16"/>
      <c r="X26" s="16"/>
      <c r="Y26" s="16"/>
      <c r="Z26" s="16"/>
      <c r="AA26" s="16"/>
      <c r="AB26" s="20" t="str">
        <f>IF(A26="","",COUNTIF(Variants!$A$3:$A$1502,A26))</f>
        <v/>
      </c>
      <c r="AC26" s="21" t="str">
        <f>IF(A26="","",IF(IF(E26="","description, ","")&amp;IF(AND(O26="",COUNTIFS(Variants!$A$3:$A$1502,A26,Variants!$K$3:$K$1502,"&lt;&gt;")=0),"price, ","")&amp;IF(T26="","image, ","")&amp;IF(B26="","category, ","")&amp;IF(N(AB26)=0,"variant, ","")&amp;IF(AND(P26="Percentage",N(Q26)&gt;100),"discount over 100%, ","")&amp;IF(AND(P26="Fixed amount",O26&lt;&gt;"",N(Q26)&gt;N(O26)),"discount over price, ","")="","Ready","Missing: "&amp;LEFT(IF(E26="","description, ","")&amp;IF(AND(O26="",COUNTIFS(Variants!$A$3:$A$1502,A26,Variants!$K$3:$K$1502,"&lt;&gt;")=0),"price, ","")&amp;IF(T26="","image, ","")&amp;IF(B26="","category, ","")&amp;IF(N(AB26)=0,"variant, ","")&amp;IF(AND(P26="Percentage",N(Q26)&gt;100),"discount over 100%, ","")&amp;IF(AND(P26="Fixed amount",O26&lt;&gt;"",N(Q26)&gt;N(O26)),"discount over price, ",""),LEN(IF(E26="","description, ","")&amp;IF(AND(O26="",COUNTIFS(Variants!$A$3:$A$1502,A26,Variants!$K$3:$K$1502,"&lt;&gt;")=0),"price, ","")&amp;IF(T26="","image, ","")&amp;IF(B26="","category, ","")&amp;IF(N(AB26)=0,"variant, ","")&amp;IF(AND(P26="Percentage",N(Q26)&gt;100),"discount over 100%, ","")&amp;IF(AND(P26="Fixed amount",O26&lt;&gt;"",N(Q26)&gt;N(O26)),"discount over price, ",""))-2)))</f>
        <v/>
      </c>
    </row>
    <row r="27" spans="1:29" x14ac:dyDescent="0.3">
      <c r="A27" s="16"/>
      <c r="B27" s="16"/>
      <c r="C27" s="16"/>
      <c r="D27" s="17"/>
      <c r="E27" s="17"/>
      <c r="F27" s="16"/>
      <c r="G27" s="16"/>
      <c r="H27" s="16"/>
      <c r="I27" s="16"/>
      <c r="J27" s="16"/>
      <c r="K27" s="16"/>
      <c r="L27" s="17"/>
      <c r="M27" s="17"/>
      <c r="N27" s="17"/>
      <c r="O27" s="18"/>
      <c r="P27" s="16"/>
      <c r="Q27" s="16"/>
      <c r="R27" s="19" t="str">
        <f t="shared" si="0"/>
        <v/>
      </c>
      <c r="S27" s="19" t="str">
        <f t="shared" si="1"/>
        <v/>
      </c>
      <c r="T27" s="17"/>
      <c r="U27" s="16"/>
      <c r="V27" s="16"/>
      <c r="W27" s="16"/>
      <c r="X27" s="16"/>
      <c r="Y27" s="16"/>
      <c r="Z27" s="16"/>
      <c r="AA27" s="16"/>
      <c r="AB27" s="20" t="str">
        <f>IF(A27="","",COUNTIF(Variants!$A$3:$A$1502,A27))</f>
        <v/>
      </c>
      <c r="AC27" s="21" t="str">
        <f>IF(A27="","",IF(IF(E27="","description, ","")&amp;IF(AND(O27="",COUNTIFS(Variants!$A$3:$A$1502,A27,Variants!$K$3:$K$1502,"&lt;&gt;")=0),"price, ","")&amp;IF(T27="","image, ","")&amp;IF(B27="","category, ","")&amp;IF(N(AB27)=0,"variant, ","")&amp;IF(AND(P27="Percentage",N(Q27)&gt;100),"discount over 100%, ","")&amp;IF(AND(P27="Fixed amount",O27&lt;&gt;"",N(Q27)&gt;N(O27)),"discount over price, ","")="","Ready","Missing: "&amp;LEFT(IF(E27="","description, ","")&amp;IF(AND(O27="",COUNTIFS(Variants!$A$3:$A$1502,A27,Variants!$K$3:$K$1502,"&lt;&gt;")=0),"price, ","")&amp;IF(T27="","image, ","")&amp;IF(B27="","category, ","")&amp;IF(N(AB27)=0,"variant, ","")&amp;IF(AND(P27="Percentage",N(Q27)&gt;100),"discount over 100%, ","")&amp;IF(AND(P27="Fixed amount",O27&lt;&gt;"",N(Q27)&gt;N(O27)),"discount over price, ",""),LEN(IF(E27="","description, ","")&amp;IF(AND(O27="",COUNTIFS(Variants!$A$3:$A$1502,A27,Variants!$K$3:$K$1502,"&lt;&gt;")=0),"price, ","")&amp;IF(T27="","image, ","")&amp;IF(B27="","category, ","")&amp;IF(N(AB27)=0,"variant, ","")&amp;IF(AND(P27="Percentage",N(Q27)&gt;100),"discount over 100%, ","")&amp;IF(AND(P27="Fixed amount",O27&lt;&gt;"",N(Q27)&gt;N(O27)),"discount over price, ",""))-2)))</f>
        <v/>
      </c>
    </row>
    <row r="28" spans="1:29" x14ac:dyDescent="0.3">
      <c r="A28" s="16"/>
      <c r="B28" s="16"/>
      <c r="C28" s="16"/>
      <c r="D28" s="17"/>
      <c r="E28" s="17"/>
      <c r="F28" s="16"/>
      <c r="G28" s="16"/>
      <c r="H28" s="16"/>
      <c r="I28" s="16"/>
      <c r="J28" s="16"/>
      <c r="K28" s="16"/>
      <c r="L28" s="17"/>
      <c r="M28" s="17"/>
      <c r="N28" s="17"/>
      <c r="O28" s="18"/>
      <c r="P28" s="16"/>
      <c r="Q28" s="16"/>
      <c r="R28" s="19" t="str">
        <f t="shared" si="0"/>
        <v/>
      </c>
      <c r="S28" s="19" t="str">
        <f t="shared" si="1"/>
        <v/>
      </c>
      <c r="T28" s="17"/>
      <c r="U28" s="16"/>
      <c r="V28" s="16"/>
      <c r="W28" s="16"/>
      <c r="X28" s="16"/>
      <c r="Y28" s="16"/>
      <c r="Z28" s="16"/>
      <c r="AA28" s="16"/>
      <c r="AB28" s="20" t="str">
        <f>IF(A28="","",COUNTIF(Variants!$A$3:$A$1502,A28))</f>
        <v/>
      </c>
      <c r="AC28" s="21" t="str">
        <f>IF(A28="","",IF(IF(E28="","description, ","")&amp;IF(AND(O28="",COUNTIFS(Variants!$A$3:$A$1502,A28,Variants!$K$3:$K$1502,"&lt;&gt;")=0),"price, ","")&amp;IF(T28="","image, ","")&amp;IF(B28="","category, ","")&amp;IF(N(AB28)=0,"variant, ","")&amp;IF(AND(P28="Percentage",N(Q28)&gt;100),"discount over 100%, ","")&amp;IF(AND(P28="Fixed amount",O28&lt;&gt;"",N(Q28)&gt;N(O28)),"discount over price, ","")="","Ready","Missing: "&amp;LEFT(IF(E28="","description, ","")&amp;IF(AND(O28="",COUNTIFS(Variants!$A$3:$A$1502,A28,Variants!$K$3:$K$1502,"&lt;&gt;")=0),"price, ","")&amp;IF(T28="","image, ","")&amp;IF(B28="","category, ","")&amp;IF(N(AB28)=0,"variant, ","")&amp;IF(AND(P28="Percentage",N(Q28)&gt;100),"discount over 100%, ","")&amp;IF(AND(P28="Fixed amount",O28&lt;&gt;"",N(Q28)&gt;N(O28)),"discount over price, ",""),LEN(IF(E28="","description, ","")&amp;IF(AND(O28="",COUNTIFS(Variants!$A$3:$A$1502,A28,Variants!$K$3:$K$1502,"&lt;&gt;")=0),"price, ","")&amp;IF(T28="","image, ","")&amp;IF(B28="","category, ","")&amp;IF(N(AB28)=0,"variant, ","")&amp;IF(AND(P28="Percentage",N(Q28)&gt;100),"discount over 100%, ","")&amp;IF(AND(P28="Fixed amount",O28&lt;&gt;"",N(Q28)&gt;N(O28)),"discount over price, ",""))-2)))</f>
        <v/>
      </c>
    </row>
    <row r="29" spans="1:29" x14ac:dyDescent="0.3">
      <c r="A29" s="16"/>
      <c r="B29" s="16"/>
      <c r="C29" s="16"/>
      <c r="D29" s="17"/>
      <c r="E29" s="17"/>
      <c r="F29" s="16"/>
      <c r="G29" s="16"/>
      <c r="H29" s="16"/>
      <c r="I29" s="16"/>
      <c r="J29" s="16"/>
      <c r="K29" s="16"/>
      <c r="L29" s="17"/>
      <c r="M29" s="17"/>
      <c r="N29" s="17"/>
      <c r="O29" s="18"/>
      <c r="P29" s="16"/>
      <c r="Q29" s="16"/>
      <c r="R29" s="19" t="str">
        <f t="shared" si="0"/>
        <v/>
      </c>
      <c r="S29" s="19" t="str">
        <f t="shared" si="1"/>
        <v/>
      </c>
      <c r="T29" s="17"/>
      <c r="U29" s="16"/>
      <c r="V29" s="16"/>
      <c r="W29" s="16"/>
      <c r="X29" s="16"/>
      <c r="Y29" s="16"/>
      <c r="Z29" s="16"/>
      <c r="AA29" s="16"/>
      <c r="AB29" s="20" t="str">
        <f>IF(A29="","",COUNTIF(Variants!$A$3:$A$1502,A29))</f>
        <v/>
      </c>
      <c r="AC29" s="21" t="str">
        <f>IF(A29="","",IF(IF(E29="","description, ","")&amp;IF(AND(O29="",COUNTIFS(Variants!$A$3:$A$1502,A29,Variants!$K$3:$K$1502,"&lt;&gt;")=0),"price, ","")&amp;IF(T29="","image, ","")&amp;IF(B29="","category, ","")&amp;IF(N(AB29)=0,"variant, ","")&amp;IF(AND(P29="Percentage",N(Q29)&gt;100),"discount over 100%, ","")&amp;IF(AND(P29="Fixed amount",O29&lt;&gt;"",N(Q29)&gt;N(O29)),"discount over price, ","")="","Ready","Missing: "&amp;LEFT(IF(E29="","description, ","")&amp;IF(AND(O29="",COUNTIFS(Variants!$A$3:$A$1502,A29,Variants!$K$3:$K$1502,"&lt;&gt;")=0),"price, ","")&amp;IF(T29="","image, ","")&amp;IF(B29="","category, ","")&amp;IF(N(AB29)=0,"variant, ","")&amp;IF(AND(P29="Percentage",N(Q29)&gt;100),"discount over 100%, ","")&amp;IF(AND(P29="Fixed amount",O29&lt;&gt;"",N(Q29)&gt;N(O29)),"discount over price, ",""),LEN(IF(E29="","description, ","")&amp;IF(AND(O29="",COUNTIFS(Variants!$A$3:$A$1502,A29,Variants!$K$3:$K$1502,"&lt;&gt;")=0),"price, ","")&amp;IF(T29="","image, ","")&amp;IF(B29="","category, ","")&amp;IF(N(AB29)=0,"variant, ","")&amp;IF(AND(P29="Percentage",N(Q29)&gt;100),"discount over 100%, ","")&amp;IF(AND(P29="Fixed amount",O29&lt;&gt;"",N(Q29)&gt;N(O29)),"discount over price, ",""))-2)))</f>
        <v/>
      </c>
    </row>
    <row r="30" spans="1:29" x14ac:dyDescent="0.3">
      <c r="A30" s="16"/>
      <c r="B30" s="16"/>
      <c r="C30" s="16"/>
      <c r="D30" s="17"/>
      <c r="E30" s="17"/>
      <c r="F30" s="16"/>
      <c r="G30" s="16"/>
      <c r="H30" s="16"/>
      <c r="I30" s="16"/>
      <c r="J30" s="16"/>
      <c r="K30" s="16"/>
      <c r="L30" s="17"/>
      <c r="M30" s="17"/>
      <c r="N30" s="17"/>
      <c r="O30" s="18"/>
      <c r="P30" s="16"/>
      <c r="Q30" s="16"/>
      <c r="R30" s="19" t="str">
        <f t="shared" si="0"/>
        <v/>
      </c>
      <c r="S30" s="19" t="str">
        <f t="shared" si="1"/>
        <v/>
      </c>
      <c r="T30" s="17"/>
      <c r="U30" s="16"/>
      <c r="V30" s="16"/>
      <c r="W30" s="16"/>
      <c r="X30" s="16"/>
      <c r="Y30" s="16"/>
      <c r="Z30" s="16"/>
      <c r="AA30" s="16"/>
      <c r="AB30" s="20" t="str">
        <f>IF(A30="","",COUNTIF(Variants!$A$3:$A$1502,A30))</f>
        <v/>
      </c>
      <c r="AC30" s="21" t="str">
        <f>IF(A30="","",IF(IF(E30="","description, ","")&amp;IF(AND(O30="",COUNTIFS(Variants!$A$3:$A$1502,A30,Variants!$K$3:$K$1502,"&lt;&gt;")=0),"price, ","")&amp;IF(T30="","image, ","")&amp;IF(B30="","category, ","")&amp;IF(N(AB30)=0,"variant, ","")&amp;IF(AND(P30="Percentage",N(Q30)&gt;100),"discount over 100%, ","")&amp;IF(AND(P30="Fixed amount",O30&lt;&gt;"",N(Q30)&gt;N(O30)),"discount over price, ","")="","Ready","Missing: "&amp;LEFT(IF(E30="","description, ","")&amp;IF(AND(O30="",COUNTIFS(Variants!$A$3:$A$1502,A30,Variants!$K$3:$K$1502,"&lt;&gt;")=0),"price, ","")&amp;IF(T30="","image, ","")&amp;IF(B30="","category, ","")&amp;IF(N(AB30)=0,"variant, ","")&amp;IF(AND(P30="Percentage",N(Q30)&gt;100),"discount over 100%, ","")&amp;IF(AND(P30="Fixed amount",O30&lt;&gt;"",N(Q30)&gt;N(O30)),"discount over price, ",""),LEN(IF(E30="","description, ","")&amp;IF(AND(O30="",COUNTIFS(Variants!$A$3:$A$1502,A30,Variants!$K$3:$K$1502,"&lt;&gt;")=0),"price, ","")&amp;IF(T30="","image, ","")&amp;IF(B30="","category, ","")&amp;IF(N(AB30)=0,"variant, ","")&amp;IF(AND(P30="Percentage",N(Q30)&gt;100),"discount over 100%, ","")&amp;IF(AND(P30="Fixed amount",O30&lt;&gt;"",N(Q30)&gt;N(O30)),"discount over price, ",""))-2)))</f>
        <v/>
      </c>
    </row>
    <row r="31" spans="1:29" x14ac:dyDescent="0.3">
      <c r="A31" s="16"/>
      <c r="B31" s="16"/>
      <c r="C31" s="16"/>
      <c r="D31" s="17"/>
      <c r="E31" s="17"/>
      <c r="F31" s="16"/>
      <c r="G31" s="16"/>
      <c r="H31" s="16"/>
      <c r="I31" s="16"/>
      <c r="J31" s="16"/>
      <c r="K31" s="16"/>
      <c r="L31" s="17"/>
      <c r="M31" s="17"/>
      <c r="N31" s="17"/>
      <c r="O31" s="18"/>
      <c r="P31" s="16"/>
      <c r="Q31" s="16"/>
      <c r="R31" s="19" t="str">
        <f t="shared" si="0"/>
        <v/>
      </c>
      <c r="S31" s="19" t="str">
        <f t="shared" si="1"/>
        <v/>
      </c>
      <c r="T31" s="17"/>
      <c r="U31" s="16"/>
      <c r="V31" s="16"/>
      <c r="W31" s="16"/>
      <c r="X31" s="16"/>
      <c r="Y31" s="16"/>
      <c r="Z31" s="16"/>
      <c r="AA31" s="16"/>
      <c r="AB31" s="20" t="str">
        <f>IF(A31="","",COUNTIF(Variants!$A$3:$A$1502,A31))</f>
        <v/>
      </c>
      <c r="AC31" s="21" t="str">
        <f>IF(A31="","",IF(IF(E31="","description, ","")&amp;IF(AND(O31="",COUNTIFS(Variants!$A$3:$A$1502,A31,Variants!$K$3:$K$1502,"&lt;&gt;")=0),"price, ","")&amp;IF(T31="","image, ","")&amp;IF(B31="","category, ","")&amp;IF(N(AB31)=0,"variant, ","")&amp;IF(AND(P31="Percentage",N(Q31)&gt;100),"discount over 100%, ","")&amp;IF(AND(P31="Fixed amount",O31&lt;&gt;"",N(Q31)&gt;N(O31)),"discount over price, ","")="","Ready","Missing: "&amp;LEFT(IF(E31="","description, ","")&amp;IF(AND(O31="",COUNTIFS(Variants!$A$3:$A$1502,A31,Variants!$K$3:$K$1502,"&lt;&gt;")=0),"price, ","")&amp;IF(T31="","image, ","")&amp;IF(B31="","category, ","")&amp;IF(N(AB31)=0,"variant, ","")&amp;IF(AND(P31="Percentage",N(Q31)&gt;100),"discount over 100%, ","")&amp;IF(AND(P31="Fixed amount",O31&lt;&gt;"",N(Q31)&gt;N(O31)),"discount over price, ",""),LEN(IF(E31="","description, ","")&amp;IF(AND(O31="",COUNTIFS(Variants!$A$3:$A$1502,A31,Variants!$K$3:$K$1502,"&lt;&gt;")=0),"price, ","")&amp;IF(T31="","image, ","")&amp;IF(B31="","category, ","")&amp;IF(N(AB31)=0,"variant, ","")&amp;IF(AND(P31="Percentage",N(Q31)&gt;100),"discount over 100%, ","")&amp;IF(AND(P31="Fixed amount",O31&lt;&gt;"",N(Q31)&gt;N(O31)),"discount over price, ",""))-2)))</f>
        <v/>
      </c>
    </row>
    <row r="32" spans="1:29" x14ac:dyDescent="0.3">
      <c r="A32" s="16"/>
      <c r="B32" s="16"/>
      <c r="C32" s="16"/>
      <c r="D32" s="17"/>
      <c r="E32" s="17"/>
      <c r="F32" s="16"/>
      <c r="G32" s="16"/>
      <c r="H32" s="16"/>
      <c r="I32" s="16"/>
      <c r="J32" s="16"/>
      <c r="K32" s="16"/>
      <c r="L32" s="17"/>
      <c r="M32" s="17"/>
      <c r="N32" s="17"/>
      <c r="O32" s="18"/>
      <c r="P32" s="16"/>
      <c r="Q32" s="16"/>
      <c r="R32" s="19" t="str">
        <f t="shared" si="0"/>
        <v/>
      </c>
      <c r="S32" s="19" t="str">
        <f t="shared" si="1"/>
        <v/>
      </c>
      <c r="T32" s="17"/>
      <c r="U32" s="16"/>
      <c r="V32" s="16"/>
      <c r="W32" s="16"/>
      <c r="X32" s="16"/>
      <c r="Y32" s="16"/>
      <c r="Z32" s="16"/>
      <c r="AA32" s="16"/>
      <c r="AB32" s="20" t="str">
        <f>IF(A32="","",COUNTIF(Variants!$A$3:$A$1502,A32))</f>
        <v/>
      </c>
      <c r="AC32" s="21" t="str">
        <f>IF(A32="","",IF(IF(E32="","description, ","")&amp;IF(AND(O32="",COUNTIFS(Variants!$A$3:$A$1502,A32,Variants!$K$3:$K$1502,"&lt;&gt;")=0),"price, ","")&amp;IF(T32="","image, ","")&amp;IF(B32="","category, ","")&amp;IF(N(AB32)=0,"variant, ","")&amp;IF(AND(P32="Percentage",N(Q32)&gt;100),"discount over 100%, ","")&amp;IF(AND(P32="Fixed amount",O32&lt;&gt;"",N(Q32)&gt;N(O32)),"discount over price, ","")="","Ready","Missing: "&amp;LEFT(IF(E32="","description, ","")&amp;IF(AND(O32="",COUNTIFS(Variants!$A$3:$A$1502,A32,Variants!$K$3:$K$1502,"&lt;&gt;")=0),"price, ","")&amp;IF(T32="","image, ","")&amp;IF(B32="","category, ","")&amp;IF(N(AB32)=0,"variant, ","")&amp;IF(AND(P32="Percentage",N(Q32)&gt;100),"discount over 100%, ","")&amp;IF(AND(P32="Fixed amount",O32&lt;&gt;"",N(Q32)&gt;N(O32)),"discount over price, ",""),LEN(IF(E32="","description, ","")&amp;IF(AND(O32="",COUNTIFS(Variants!$A$3:$A$1502,A32,Variants!$K$3:$K$1502,"&lt;&gt;")=0),"price, ","")&amp;IF(T32="","image, ","")&amp;IF(B32="","category, ","")&amp;IF(N(AB32)=0,"variant, ","")&amp;IF(AND(P32="Percentage",N(Q32)&gt;100),"discount over 100%, ","")&amp;IF(AND(P32="Fixed amount",O32&lt;&gt;"",N(Q32)&gt;N(O32)),"discount over price, ",""))-2)))</f>
        <v/>
      </c>
    </row>
    <row r="33" spans="1:29" x14ac:dyDescent="0.3">
      <c r="A33" s="16"/>
      <c r="B33" s="16"/>
      <c r="C33" s="16"/>
      <c r="D33" s="17"/>
      <c r="E33" s="17"/>
      <c r="F33" s="16"/>
      <c r="G33" s="16"/>
      <c r="H33" s="16"/>
      <c r="I33" s="16"/>
      <c r="J33" s="16"/>
      <c r="K33" s="16"/>
      <c r="L33" s="17"/>
      <c r="M33" s="17"/>
      <c r="N33" s="17"/>
      <c r="O33" s="18"/>
      <c r="P33" s="16"/>
      <c r="Q33" s="16"/>
      <c r="R33" s="19" t="str">
        <f t="shared" si="0"/>
        <v/>
      </c>
      <c r="S33" s="19" t="str">
        <f t="shared" si="1"/>
        <v/>
      </c>
      <c r="T33" s="17"/>
      <c r="U33" s="16"/>
      <c r="V33" s="16"/>
      <c r="W33" s="16"/>
      <c r="X33" s="16"/>
      <c r="Y33" s="16"/>
      <c r="Z33" s="16"/>
      <c r="AA33" s="16"/>
      <c r="AB33" s="20" t="str">
        <f>IF(A33="","",COUNTIF(Variants!$A$3:$A$1502,A33))</f>
        <v/>
      </c>
      <c r="AC33" s="21" t="str">
        <f>IF(A33="","",IF(IF(E33="","description, ","")&amp;IF(AND(O33="",COUNTIFS(Variants!$A$3:$A$1502,A33,Variants!$K$3:$K$1502,"&lt;&gt;")=0),"price, ","")&amp;IF(T33="","image, ","")&amp;IF(B33="","category, ","")&amp;IF(N(AB33)=0,"variant, ","")&amp;IF(AND(P33="Percentage",N(Q33)&gt;100),"discount over 100%, ","")&amp;IF(AND(P33="Fixed amount",O33&lt;&gt;"",N(Q33)&gt;N(O33)),"discount over price, ","")="","Ready","Missing: "&amp;LEFT(IF(E33="","description, ","")&amp;IF(AND(O33="",COUNTIFS(Variants!$A$3:$A$1502,A33,Variants!$K$3:$K$1502,"&lt;&gt;")=0),"price, ","")&amp;IF(T33="","image, ","")&amp;IF(B33="","category, ","")&amp;IF(N(AB33)=0,"variant, ","")&amp;IF(AND(P33="Percentage",N(Q33)&gt;100),"discount over 100%, ","")&amp;IF(AND(P33="Fixed amount",O33&lt;&gt;"",N(Q33)&gt;N(O33)),"discount over price, ",""),LEN(IF(E33="","description, ","")&amp;IF(AND(O33="",COUNTIFS(Variants!$A$3:$A$1502,A33,Variants!$K$3:$K$1502,"&lt;&gt;")=0),"price, ","")&amp;IF(T33="","image, ","")&amp;IF(B33="","category, ","")&amp;IF(N(AB33)=0,"variant, ","")&amp;IF(AND(P33="Percentage",N(Q33)&gt;100),"discount over 100%, ","")&amp;IF(AND(P33="Fixed amount",O33&lt;&gt;"",N(Q33)&gt;N(O33)),"discount over price, ",""))-2)))</f>
        <v/>
      </c>
    </row>
    <row r="34" spans="1:29" x14ac:dyDescent="0.3">
      <c r="A34" s="16"/>
      <c r="B34" s="16"/>
      <c r="C34" s="16"/>
      <c r="D34" s="17"/>
      <c r="E34" s="17"/>
      <c r="F34" s="16"/>
      <c r="G34" s="16"/>
      <c r="H34" s="16"/>
      <c r="I34" s="16"/>
      <c r="J34" s="16"/>
      <c r="K34" s="16"/>
      <c r="L34" s="17"/>
      <c r="M34" s="17"/>
      <c r="N34" s="17"/>
      <c r="O34" s="18"/>
      <c r="P34" s="16"/>
      <c r="Q34" s="16"/>
      <c r="R34" s="19" t="str">
        <f t="shared" si="0"/>
        <v/>
      </c>
      <c r="S34" s="19" t="str">
        <f t="shared" si="1"/>
        <v/>
      </c>
      <c r="T34" s="17"/>
      <c r="U34" s="16"/>
      <c r="V34" s="16"/>
      <c r="W34" s="16"/>
      <c r="X34" s="16"/>
      <c r="Y34" s="16"/>
      <c r="Z34" s="16"/>
      <c r="AA34" s="16"/>
      <c r="AB34" s="20" t="str">
        <f>IF(A34="","",COUNTIF(Variants!$A$3:$A$1502,A34))</f>
        <v/>
      </c>
      <c r="AC34" s="21" t="str">
        <f>IF(A34="","",IF(IF(E34="","description, ","")&amp;IF(AND(O34="",COUNTIFS(Variants!$A$3:$A$1502,A34,Variants!$K$3:$K$1502,"&lt;&gt;")=0),"price, ","")&amp;IF(T34="","image, ","")&amp;IF(B34="","category, ","")&amp;IF(N(AB34)=0,"variant, ","")&amp;IF(AND(P34="Percentage",N(Q34)&gt;100),"discount over 100%, ","")&amp;IF(AND(P34="Fixed amount",O34&lt;&gt;"",N(Q34)&gt;N(O34)),"discount over price, ","")="","Ready","Missing: "&amp;LEFT(IF(E34="","description, ","")&amp;IF(AND(O34="",COUNTIFS(Variants!$A$3:$A$1502,A34,Variants!$K$3:$K$1502,"&lt;&gt;")=0),"price, ","")&amp;IF(T34="","image, ","")&amp;IF(B34="","category, ","")&amp;IF(N(AB34)=0,"variant, ","")&amp;IF(AND(P34="Percentage",N(Q34)&gt;100),"discount over 100%, ","")&amp;IF(AND(P34="Fixed amount",O34&lt;&gt;"",N(Q34)&gt;N(O34)),"discount over price, ",""),LEN(IF(E34="","description, ","")&amp;IF(AND(O34="",COUNTIFS(Variants!$A$3:$A$1502,A34,Variants!$K$3:$K$1502,"&lt;&gt;")=0),"price, ","")&amp;IF(T34="","image, ","")&amp;IF(B34="","category, ","")&amp;IF(N(AB34)=0,"variant, ","")&amp;IF(AND(P34="Percentage",N(Q34)&gt;100),"discount over 100%, ","")&amp;IF(AND(P34="Fixed amount",O34&lt;&gt;"",N(Q34)&gt;N(O34)),"discount over price, ",""))-2)))</f>
        <v/>
      </c>
    </row>
    <row r="35" spans="1:29" x14ac:dyDescent="0.3">
      <c r="A35" s="16"/>
      <c r="B35" s="16"/>
      <c r="C35" s="16"/>
      <c r="D35" s="17"/>
      <c r="E35" s="17"/>
      <c r="F35" s="16"/>
      <c r="G35" s="16"/>
      <c r="H35" s="16"/>
      <c r="I35" s="16"/>
      <c r="J35" s="16"/>
      <c r="K35" s="16"/>
      <c r="L35" s="17"/>
      <c r="M35" s="17"/>
      <c r="N35" s="17"/>
      <c r="O35" s="18"/>
      <c r="P35" s="16"/>
      <c r="Q35" s="16"/>
      <c r="R35" s="19" t="str">
        <f t="shared" si="0"/>
        <v/>
      </c>
      <c r="S35" s="19" t="str">
        <f t="shared" si="1"/>
        <v/>
      </c>
      <c r="T35" s="17"/>
      <c r="U35" s="16"/>
      <c r="V35" s="16"/>
      <c r="W35" s="16"/>
      <c r="X35" s="16"/>
      <c r="Y35" s="16"/>
      <c r="Z35" s="16"/>
      <c r="AA35" s="16"/>
      <c r="AB35" s="20" t="str">
        <f>IF(A35="","",COUNTIF(Variants!$A$3:$A$1502,A35))</f>
        <v/>
      </c>
      <c r="AC35" s="21" t="str">
        <f>IF(A35="","",IF(IF(E35="","description, ","")&amp;IF(AND(O35="",COUNTIFS(Variants!$A$3:$A$1502,A35,Variants!$K$3:$K$1502,"&lt;&gt;")=0),"price, ","")&amp;IF(T35="","image, ","")&amp;IF(B35="","category, ","")&amp;IF(N(AB35)=0,"variant, ","")&amp;IF(AND(P35="Percentage",N(Q35)&gt;100),"discount over 100%, ","")&amp;IF(AND(P35="Fixed amount",O35&lt;&gt;"",N(Q35)&gt;N(O35)),"discount over price, ","")="","Ready","Missing: "&amp;LEFT(IF(E35="","description, ","")&amp;IF(AND(O35="",COUNTIFS(Variants!$A$3:$A$1502,A35,Variants!$K$3:$K$1502,"&lt;&gt;")=0),"price, ","")&amp;IF(T35="","image, ","")&amp;IF(B35="","category, ","")&amp;IF(N(AB35)=0,"variant, ","")&amp;IF(AND(P35="Percentage",N(Q35)&gt;100),"discount over 100%, ","")&amp;IF(AND(P35="Fixed amount",O35&lt;&gt;"",N(Q35)&gt;N(O35)),"discount over price, ",""),LEN(IF(E35="","description, ","")&amp;IF(AND(O35="",COUNTIFS(Variants!$A$3:$A$1502,A35,Variants!$K$3:$K$1502,"&lt;&gt;")=0),"price, ","")&amp;IF(T35="","image, ","")&amp;IF(B35="","category, ","")&amp;IF(N(AB35)=0,"variant, ","")&amp;IF(AND(P35="Percentage",N(Q35)&gt;100),"discount over 100%, ","")&amp;IF(AND(P35="Fixed amount",O35&lt;&gt;"",N(Q35)&gt;N(O35)),"discount over price, ",""))-2)))</f>
        <v/>
      </c>
    </row>
    <row r="36" spans="1:29" x14ac:dyDescent="0.3">
      <c r="A36" s="16"/>
      <c r="B36" s="16"/>
      <c r="C36" s="16"/>
      <c r="D36" s="17"/>
      <c r="E36" s="17"/>
      <c r="F36" s="16"/>
      <c r="G36" s="16"/>
      <c r="H36" s="16"/>
      <c r="I36" s="16"/>
      <c r="J36" s="16"/>
      <c r="K36" s="16"/>
      <c r="L36" s="17"/>
      <c r="M36" s="17"/>
      <c r="N36" s="17"/>
      <c r="O36" s="18"/>
      <c r="P36" s="16"/>
      <c r="Q36" s="16"/>
      <c r="R36" s="19" t="str">
        <f t="shared" si="0"/>
        <v/>
      </c>
      <c r="S36" s="19" t="str">
        <f t="shared" si="1"/>
        <v/>
      </c>
      <c r="T36" s="17"/>
      <c r="U36" s="16"/>
      <c r="V36" s="16"/>
      <c r="W36" s="16"/>
      <c r="X36" s="16"/>
      <c r="Y36" s="16"/>
      <c r="Z36" s="16"/>
      <c r="AA36" s="16"/>
      <c r="AB36" s="20" t="str">
        <f>IF(A36="","",COUNTIF(Variants!$A$3:$A$1502,A36))</f>
        <v/>
      </c>
      <c r="AC36" s="21" t="str">
        <f>IF(A36="","",IF(IF(E36="","description, ","")&amp;IF(AND(O36="",COUNTIFS(Variants!$A$3:$A$1502,A36,Variants!$K$3:$K$1502,"&lt;&gt;")=0),"price, ","")&amp;IF(T36="","image, ","")&amp;IF(B36="","category, ","")&amp;IF(N(AB36)=0,"variant, ","")&amp;IF(AND(P36="Percentage",N(Q36)&gt;100),"discount over 100%, ","")&amp;IF(AND(P36="Fixed amount",O36&lt;&gt;"",N(Q36)&gt;N(O36)),"discount over price, ","")="","Ready","Missing: "&amp;LEFT(IF(E36="","description, ","")&amp;IF(AND(O36="",COUNTIFS(Variants!$A$3:$A$1502,A36,Variants!$K$3:$K$1502,"&lt;&gt;")=0),"price, ","")&amp;IF(T36="","image, ","")&amp;IF(B36="","category, ","")&amp;IF(N(AB36)=0,"variant, ","")&amp;IF(AND(P36="Percentage",N(Q36)&gt;100),"discount over 100%, ","")&amp;IF(AND(P36="Fixed amount",O36&lt;&gt;"",N(Q36)&gt;N(O36)),"discount over price, ",""),LEN(IF(E36="","description, ","")&amp;IF(AND(O36="",COUNTIFS(Variants!$A$3:$A$1502,A36,Variants!$K$3:$K$1502,"&lt;&gt;")=0),"price, ","")&amp;IF(T36="","image, ","")&amp;IF(B36="","category, ","")&amp;IF(N(AB36)=0,"variant, ","")&amp;IF(AND(P36="Percentage",N(Q36)&gt;100),"discount over 100%, ","")&amp;IF(AND(P36="Fixed amount",O36&lt;&gt;"",N(Q36)&gt;N(O36)),"discount over price, ",""))-2)))</f>
        <v/>
      </c>
    </row>
    <row r="37" spans="1:29" x14ac:dyDescent="0.3">
      <c r="A37" s="16"/>
      <c r="B37" s="16"/>
      <c r="C37" s="16"/>
      <c r="D37" s="17"/>
      <c r="E37" s="17"/>
      <c r="F37" s="16"/>
      <c r="G37" s="16"/>
      <c r="H37" s="16"/>
      <c r="I37" s="16"/>
      <c r="J37" s="16"/>
      <c r="K37" s="16"/>
      <c r="L37" s="17"/>
      <c r="M37" s="17"/>
      <c r="N37" s="17"/>
      <c r="O37" s="18"/>
      <c r="P37" s="16"/>
      <c r="Q37" s="16"/>
      <c r="R37" s="19" t="str">
        <f t="shared" si="0"/>
        <v/>
      </c>
      <c r="S37" s="19" t="str">
        <f t="shared" si="1"/>
        <v/>
      </c>
      <c r="T37" s="17"/>
      <c r="U37" s="16"/>
      <c r="V37" s="16"/>
      <c r="W37" s="16"/>
      <c r="X37" s="16"/>
      <c r="Y37" s="16"/>
      <c r="Z37" s="16"/>
      <c r="AA37" s="16"/>
      <c r="AB37" s="20" t="str">
        <f>IF(A37="","",COUNTIF(Variants!$A$3:$A$1502,A37))</f>
        <v/>
      </c>
      <c r="AC37" s="21" t="str">
        <f>IF(A37="","",IF(IF(E37="","description, ","")&amp;IF(AND(O37="",COUNTIFS(Variants!$A$3:$A$1502,A37,Variants!$K$3:$K$1502,"&lt;&gt;")=0),"price, ","")&amp;IF(T37="","image, ","")&amp;IF(B37="","category, ","")&amp;IF(N(AB37)=0,"variant, ","")&amp;IF(AND(P37="Percentage",N(Q37)&gt;100),"discount over 100%, ","")&amp;IF(AND(P37="Fixed amount",O37&lt;&gt;"",N(Q37)&gt;N(O37)),"discount over price, ","")="","Ready","Missing: "&amp;LEFT(IF(E37="","description, ","")&amp;IF(AND(O37="",COUNTIFS(Variants!$A$3:$A$1502,A37,Variants!$K$3:$K$1502,"&lt;&gt;")=0),"price, ","")&amp;IF(T37="","image, ","")&amp;IF(B37="","category, ","")&amp;IF(N(AB37)=0,"variant, ","")&amp;IF(AND(P37="Percentage",N(Q37)&gt;100),"discount over 100%, ","")&amp;IF(AND(P37="Fixed amount",O37&lt;&gt;"",N(Q37)&gt;N(O37)),"discount over price, ",""),LEN(IF(E37="","description, ","")&amp;IF(AND(O37="",COUNTIFS(Variants!$A$3:$A$1502,A37,Variants!$K$3:$K$1502,"&lt;&gt;")=0),"price, ","")&amp;IF(T37="","image, ","")&amp;IF(B37="","category, ","")&amp;IF(N(AB37)=0,"variant, ","")&amp;IF(AND(P37="Percentage",N(Q37)&gt;100),"discount over 100%, ","")&amp;IF(AND(P37="Fixed amount",O37&lt;&gt;"",N(Q37)&gt;N(O37)),"discount over price, ",""))-2)))</f>
        <v/>
      </c>
    </row>
    <row r="38" spans="1:29" x14ac:dyDescent="0.3">
      <c r="A38" s="16"/>
      <c r="B38" s="16"/>
      <c r="C38" s="16"/>
      <c r="D38" s="17"/>
      <c r="E38" s="17"/>
      <c r="F38" s="16"/>
      <c r="G38" s="16"/>
      <c r="H38" s="16"/>
      <c r="I38" s="16"/>
      <c r="J38" s="16"/>
      <c r="K38" s="16"/>
      <c r="L38" s="17"/>
      <c r="M38" s="17"/>
      <c r="N38" s="17"/>
      <c r="O38" s="18"/>
      <c r="P38" s="16"/>
      <c r="Q38" s="16"/>
      <c r="R38" s="19" t="str">
        <f t="shared" si="0"/>
        <v/>
      </c>
      <c r="S38" s="19" t="str">
        <f t="shared" si="1"/>
        <v/>
      </c>
      <c r="T38" s="17"/>
      <c r="U38" s="16"/>
      <c r="V38" s="16"/>
      <c r="W38" s="16"/>
      <c r="X38" s="16"/>
      <c r="Y38" s="16"/>
      <c r="Z38" s="16"/>
      <c r="AA38" s="16"/>
      <c r="AB38" s="20" t="str">
        <f>IF(A38="","",COUNTIF(Variants!$A$3:$A$1502,A38))</f>
        <v/>
      </c>
      <c r="AC38" s="21" t="str">
        <f>IF(A38="","",IF(IF(E38="","description, ","")&amp;IF(AND(O38="",COUNTIFS(Variants!$A$3:$A$1502,A38,Variants!$K$3:$K$1502,"&lt;&gt;")=0),"price, ","")&amp;IF(T38="","image, ","")&amp;IF(B38="","category, ","")&amp;IF(N(AB38)=0,"variant, ","")&amp;IF(AND(P38="Percentage",N(Q38)&gt;100),"discount over 100%, ","")&amp;IF(AND(P38="Fixed amount",O38&lt;&gt;"",N(Q38)&gt;N(O38)),"discount over price, ","")="","Ready","Missing: "&amp;LEFT(IF(E38="","description, ","")&amp;IF(AND(O38="",COUNTIFS(Variants!$A$3:$A$1502,A38,Variants!$K$3:$K$1502,"&lt;&gt;")=0),"price, ","")&amp;IF(T38="","image, ","")&amp;IF(B38="","category, ","")&amp;IF(N(AB38)=0,"variant, ","")&amp;IF(AND(P38="Percentage",N(Q38)&gt;100),"discount over 100%, ","")&amp;IF(AND(P38="Fixed amount",O38&lt;&gt;"",N(Q38)&gt;N(O38)),"discount over price, ",""),LEN(IF(E38="","description, ","")&amp;IF(AND(O38="",COUNTIFS(Variants!$A$3:$A$1502,A38,Variants!$K$3:$K$1502,"&lt;&gt;")=0),"price, ","")&amp;IF(T38="","image, ","")&amp;IF(B38="","category, ","")&amp;IF(N(AB38)=0,"variant, ","")&amp;IF(AND(P38="Percentage",N(Q38)&gt;100),"discount over 100%, ","")&amp;IF(AND(P38="Fixed amount",O38&lt;&gt;"",N(Q38)&gt;N(O38)),"discount over price, ",""))-2)))</f>
        <v/>
      </c>
    </row>
    <row r="39" spans="1:29" x14ac:dyDescent="0.3">
      <c r="A39" s="16"/>
      <c r="B39" s="16"/>
      <c r="C39" s="16"/>
      <c r="D39" s="17"/>
      <c r="E39" s="17"/>
      <c r="F39" s="16"/>
      <c r="G39" s="16"/>
      <c r="H39" s="16"/>
      <c r="I39" s="16"/>
      <c r="J39" s="16"/>
      <c r="K39" s="16"/>
      <c r="L39" s="17"/>
      <c r="M39" s="17"/>
      <c r="N39" s="17"/>
      <c r="O39" s="18"/>
      <c r="P39" s="16"/>
      <c r="Q39" s="16"/>
      <c r="R39" s="19" t="str">
        <f t="shared" si="0"/>
        <v/>
      </c>
      <c r="S39" s="19" t="str">
        <f t="shared" si="1"/>
        <v/>
      </c>
      <c r="T39" s="17"/>
      <c r="U39" s="16"/>
      <c r="V39" s="16"/>
      <c r="W39" s="16"/>
      <c r="X39" s="16"/>
      <c r="Y39" s="16"/>
      <c r="Z39" s="16"/>
      <c r="AA39" s="16"/>
      <c r="AB39" s="20" t="str">
        <f>IF(A39="","",COUNTIF(Variants!$A$3:$A$1502,A39))</f>
        <v/>
      </c>
      <c r="AC39" s="21" t="str">
        <f>IF(A39="","",IF(IF(E39="","description, ","")&amp;IF(AND(O39="",COUNTIFS(Variants!$A$3:$A$1502,A39,Variants!$K$3:$K$1502,"&lt;&gt;")=0),"price, ","")&amp;IF(T39="","image, ","")&amp;IF(B39="","category, ","")&amp;IF(N(AB39)=0,"variant, ","")&amp;IF(AND(P39="Percentage",N(Q39)&gt;100),"discount over 100%, ","")&amp;IF(AND(P39="Fixed amount",O39&lt;&gt;"",N(Q39)&gt;N(O39)),"discount over price, ","")="","Ready","Missing: "&amp;LEFT(IF(E39="","description, ","")&amp;IF(AND(O39="",COUNTIFS(Variants!$A$3:$A$1502,A39,Variants!$K$3:$K$1502,"&lt;&gt;")=0),"price, ","")&amp;IF(T39="","image, ","")&amp;IF(B39="","category, ","")&amp;IF(N(AB39)=0,"variant, ","")&amp;IF(AND(P39="Percentage",N(Q39)&gt;100),"discount over 100%, ","")&amp;IF(AND(P39="Fixed amount",O39&lt;&gt;"",N(Q39)&gt;N(O39)),"discount over price, ",""),LEN(IF(E39="","description, ","")&amp;IF(AND(O39="",COUNTIFS(Variants!$A$3:$A$1502,A39,Variants!$K$3:$K$1502,"&lt;&gt;")=0),"price, ","")&amp;IF(T39="","image, ","")&amp;IF(B39="","category, ","")&amp;IF(N(AB39)=0,"variant, ","")&amp;IF(AND(P39="Percentage",N(Q39)&gt;100),"discount over 100%, ","")&amp;IF(AND(P39="Fixed amount",O39&lt;&gt;"",N(Q39)&gt;N(O39)),"discount over price, ",""))-2)))</f>
        <v/>
      </c>
    </row>
    <row r="40" spans="1:29" x14ac:dyDescent="0.3">
      <c r="A40" s="16"/>
      <c r="B40" s="16"/>
      <c r="C40" s="16"/>
      <c r="D40" s="17"/>
      <c r="E40" s="17"/>
      <c r="F40" s="16"/>
      <c r="G40" s="16"/>
      <c r="H40" s="16"/>
      <c r="I40" s="16"/>
      <c r="J40" s="16"/>
      <c r="K40" s="16"/>
      <c r="L40" s="17"/>
      <c r="M40" s="17"/>
      <c r="N40" s="17"/>
      <c r="O40" s="18"/>
      <c r="P40" s="16"/>
      <c r="Q40" s="16"/>
      <c r="R40" s="19" t="str">
        <f t="shared" si="0"/>
        <v/>
      </c>
      <c r="S40" s="19" t="str">
        <f t="shared" si="1"/>
        <v/>
      </c>
      <c r="T40" s="17"/>
      <c r="U40" s="16"/>
      <c r="V40" s="16"/>
      <c r="W40" s="16"/>
      <c r="X40" s="16"/>
      <c r="Y40" s="16"/>
      <c r="Z40" s="16"/>
      <c r="AA40" s="16"/>
      <c r="AB40" s="20" t="str">
        <f>IF(A40="","",COUNTIF(Variants!$A$3:$A$1502,A40))</f>
        <v/>
      </c>
      <c r="AC40" s="21" t="str">
        <f>IF(A40="","",IF(IF(E40="","description, ","")&amp;IF(AND(O40="",COUNTIFS(Variants!$A$3:$A$1502,A40,Variants!$K$3:$K$1502,"&lt;&gt;")=0),"price, ","")&amp;IF(T40="","image, ","")&amp;IF(B40="","category, ","")&amp;IF(N(AB40)=0,"variant, ","")&amp;IF(AND(P40="Percentage",N(Q40)&gt;100),"discount over 100%, ","")&amp;IF(AND(P40="Fixed amount",O40&lt;&gt;"",N(Q40)&gt;N(O40)),"discount over price, ","")="","Ready","Missing: "&amp;LEFT(IF(E40="","description, ","")&amp;IF(AND(O40="",COUNTIFS(Variants!$A$3:$A$1502,A40,Variants!$K$3:$K$1502,"&lt;&gt;")=0),"price, ","")&amp;IF(T40="","image, ","")&amp;IF(B40="","category, ","")&amp;IF(N(AB40)=0,"variant, ","")&amp;IF(AND(P40="Percentage",N(Q40)&gt;100),"discount over 100%, ","")&amp;IF(AND(P40="Fixed amount",O40&lt;&gt;"",N(Q40)&gt;N(O40)),"discount over price, ",""),LEN(IF(E40="","description, ","")&amp;IF(AND(O40="",COUNTIFS(Variants!$A$3:$A$1502,A40,Variants!$K$3:$K$1502,"&lt;&gt;")=0),"price, ","")&amp;IF(T40="","image, ","")&amp;IF(B40="","category, ","")&amp;IF(N(AB40)=0,"variant, ","")&amp;IF(AND(P40="Percentage",N(Q40)&gt;100),"discount over 100%, ","")&amp;IF(AND(P40="Fixed amount",O40&lt;&gt;"",N(Q40)&gt;N(O40)),"discount over price, ",""))-2)))</f>
        <v/>
      </c>
    </row>
    <row r="41" spans="1:29" x14ac:dyDescent="0.3">
      <c r="A41" s="16"/>
      <c r="B41" s="16"/>
      <c r="C41" s="16"/>
      <c r="D41" s="17"/>
      <c r="E41" s="17"/>
      <c r="F41" s="16"/>
      <c r="G41" s="16"/>
      <c r="H41" s="16"/>
      <c r="I41" s="16"/>
      <c r="J41" s="16"/>
      <c r="K41" s="16"/>
      <c r="L41" s="17"/>
      <c r="M41" s="17"/>
      <c r="N41" s="17"/>
      <c r="O41" s="18"/>
      <c r="P41" s="16"/>
      <c r="Q41" s="16"/>
      <c r="R41" s="19" t="str">
        <f t="shared" si="0"/>
        <v/>
      </c>
      <c r="S41" s="19" t="str">
        <f t="shared" si="1"/>
        <v/>
      </c>
      <c r="T41" s="17"/>
      <c r="U41" s="16"/>
      <c r="V41" s="16"/>
      <c r="W41" s="16"/>
      <c r="X41" s="16"/>
      <c r="Y41" s="16"/>
      <c r="Z41" s="16"/>
      <c r="AA41" s="16"/>
      <c r="AB41" s="20" t="str">
        <f>IF(A41="","",COUNTIF(Variants!$A$3:$A$1502,A41))</f>
        <v/>
      </c>
      <c r="AC41" s="21" t="str">
        <f>IF(A41="","",IF(IF(E41="","description, ","")&amp;IF(AND(O41="",COUNTIFS(Variants!$A$3:$A$1502,A41,Variants!$K$3:$K$1502,"&lt;&gt;")=0),"price, ","")&amp;IF(T41="","image, ","")&amp;IF(B41="","category, ","")&amp;IF(N(AB41)=0,"variant, ","")&amp;IF(AND(P41="Percentage",N(Q41)&gt;100),"discount over 100%, ","")&amp;IF(AND(P41="Fixed amount",O41&lt;&gt;"",N(Q41)&gt;N(O41)),"discount over price, ","")="","Ready","Missing: "&amp;LEFT(IF(E41="","description, ","")&amp;IF(AND(O41="",COUNTIFS(Variants!$A$3:$A$1502,A41,Variants!$K$3:$K$1502,"&lt;&gt;")=0),"price, ","")&amp;IF(T41="","image, ","")&amp;IF(B41="","category, ","")&amp;IF(N(AB41)=0,"variant, ","")&amp;IF(AND(P41="Percentage",N(Q41)&gt;100),"discount over 100%, ","")&amp;IF(AND(P41="Fixed amount",O41&lt;&gt;"",N(Q41)&gt;N(O41)),"discount over price, ",""),LEN(IF(E41="","description, ","")&amp;IF(AND(O41="",COUNTIFS(Variants!$A$3:$A$1502,A41,Variants!$K$3:$K$1502,"&lt;&gt;")=0),"price, ","")&amp;IF(T41="","image, ","")&amp;IF(B41="","category, ","")&amp;IF(N(AB41)=0,"variant, ","")&amp;IF(AND(P41="Percentage",N(Q41)&gt;100),"discount over 100%, ","")&amp;IF(AND(P41="Fixed amount",O41&lt;&gt;"",N(Q41)&gt;N(O41)),"discount over price, ",""))-2)))</f>
        <v/>
      </c>
    </row>
    <row r="42" spans="1:29" x14ac:dyDescent="0.3">
      <c r="A42" s="16"/>
      <c r="B42" s="16"/>
      <c r="C42" s="16"/>
      <c r="D42" s="17"/>
      <c r="E42" s="17"/>
      <c r="F42" s="16"/>
      <c r="G42" s="16"/>
      <c r="H42" s="16"/>
      <c r="I42" s="16"/>
      <c r="J42" s="16"/>
      <c r="K42" s="16"/>
      <c r="L42" s="17"/>
      <c r="M42" s="17"/>
      <c r="N42" s="17"/>
      <c r="O42" s="18"/>
      <c r="P42" s="16"/>
      <c r="Q42" s="16"/>
      <c r="R42" s="19" t="str">
        <f t="shared" si="0"/>
        <v/>
      </c>
      <c r="S42" s="19" t="str">
        <f t="shared" si="1"/>
        <v/>
      </c>
      <c r="T42" s="17"/>
      <c r="U42" s="16"/>
      <c r="V42" s="16"/>
      <c r="W42" s="16"/>
      <c r="X42" s="16"/>
      <c r="Y42" s="16"/>
      <c r="Z42" s="16"/>
      <c r="AA42" s="16"/>
      <c r="AB42" s="20" t="str">
        <f>IF(A42="","",COUNTIF(Variants!$A$3:$A$1502,A42))</f>
        <v/>
      </c>
      <c r="AC42" s="21" t="str">
        <f>IF(A42="","",IF(IF(E42="","description, ","")&amp;IF(AND(O42="",COUNTIFS(Variants!$A$3:$A$1502,A42,Variants!$K$3:$K$1502,"&lt;&gt;")=0),"price, ","")&amp;IF(T42="","image, ","")&amp;IF(B42="","category, ","")&amp;IF(N(AB42)=0,"variant, ","")&amp;IF(AND(P42="Percentage",N(Q42)&gt;100),"discount over 100%, ","")&amp;IF(AND(P42="Fixed amount",O42&lt;&gt;"",N(Q42)&gt;N(O42)),"discount over price, ","")="","Ready","Missing: "&amp;LEFT(IF(E42="","description, ","")&amp;IF(AND(O42="",COUNTIFS(Variants!$A$3:$A$1502,A42,Variants!$K$3:$K$1502,"&lt;&gt;")=0),"price, ","")&amp;IF(T42="","image, ","")&amp;IF(B42="","category, ","")&amp;IF(N(AB42)=0,"variant, ","")&amp;IF(AND(P42="Percentage",N(Q42)&gt;100),"discount over 100%, ","")&amp;IF(AND(P42="Fixed amount",O42&lt;&gt;"",N(Q42)&gt;N(O42)),"discount over price, ",""),LEN(IF(E42="","description, ","")&amp;IF(AND(O42="",COUNTIFS(Variants!$A$3:$A$1502,A42,Variants!$K$3:$K$1502,"&lt;&gt;")=0),"price, ","")&amp;IF(T42="","image, ","")&amp;IF(B42="","category, ","")&amp;IF(N(AB42)=0,"variant, ","")&amp;IF(AND(P42="Percentage",N(Q42)&gt;100),"discount over 100%, ","")&amp;IF(AND(P42="Fixed amount",O42&lt;&gt;"",N(Q42)&gt;N(O42)),"discount over price, ",""))-2)))</f>
        <v/>
      </c>
    </row>
    <row r="43" spans="1:29" x14ac:dyDescent="0.3">
      <c r="A43" s="16"/>
      <c r="B43" s="16"/>
      <c r="C43" s="16"/>
      <c r="D43" s="17"/>
      <c r="E43" s="17"/>
      <c r="F43" s="16"/>
      <c r="G43" s="16"/>
      <c r="H43" s="16"/>
      <c r="I43" s="16"/>
      <c r="J43" s="16"/>
      <c r="K43" s="16"/>
      <c r="L43" s="17"/>
      <c r="M43" s="17"/>
      <c r="N43" s="17"/>
      <c r="O43" s="18"/>
      <c r="P43" s="16"/>
      <c r="Q43" s="16"/>
      <c r="R43" s="19" t="str">
        <f t="shared" si="0"/>
        <v/>
      </c>
      <c r="S43" s="19" t="str">
        <f t="shared" si="1"/>
        <v/>
      </c>
      <c r="T43" s="17"/>
      <c r="U43" s="16"/>
      <c r="V43" s="16"/>
      <c r="W43" s="16"/>
      <c r="X43" s="16"/>
      <c r="Y43" s="16"/>
      <c r="Z43" s="16"/>
      <c r="AA43" s="16"/>
      <c r="AB43" s="20" t="str">
        <f>IF(A43="","",COUNTIF(Variants!$A$3:$A$1502,A43))</f>
        <v/>
      </c>
      <c r="AC43" s="21" t="str">
        <f>IF(A43="","",IF(IF(E43="","description, ","")&amp;IF(AND(O43="",COUNTIFS(Variants!$A$3:$A$1502,A43,Variants!$K$3:$K$1502,"&lt;&gt;")=0),"price, ","")&amp;IF(T43="","image, ","")&amp;IF(B43="","category, ","")&amp;IF(N(AB43)=0,"variant, ","")&amp;IF(AND(P43="Percentage",N(Q43)&gt;100),"discount over 100%, ","")&amp;IF(AND(P43="Fixed amount",O43&lt;&gt;"",N(Q43)&gt;N(O43)),"discount over price, ","")="","Ready","Missing: "&amp;LEFT(IF(E43="","description, ","")&amp;IF(AND(O43="",COUNTIFS(Variants!$A$3:$A$1502,A43,Variants!$K$3:$K$1502,"&lt;&gt;")=0),"price, ","")&amp;IF(T43="","image, ","")&amp;IF(B43="","category, ","")&amp;IF(N(AB43)=0,"variant, ","")&amp;IF(AND(P43="Percentage",N(Q43)&gt;100),"discount over 100%, ","")&amp;IF(AND(P43="Fixed amount",O43&lt;&gt;"",N(Q43)&gt;N(O43)),"discount over price, ",""),LEN(IF(E43="","description, ","")&amp;IF(AND(O43="",COUNTIFS(Variants!$A$3:$A$1502,A43,Variants!$K$3:$K$1502,"&lt;&gt;")=0),"price, ","")&amp;IF(T43="","image, ","")&amp;IF(B43="","category, ","")&amp;IF(N(AB43)=0,"variant, ","")&amp;IF(AND(P43="Percentage",N(Q43)&gt;100),"discount over 100%, ","")&amp;IF(AND(P43="Fixed amount",O43&lt;&gt;"",N(Q43)&gt;N(O43)),"discount over price, ",""))-2)))</f>
        <v/>
      </c>
    </row>
    <row r="44" spans="1:29" x14ac:dyDescent="0.3">
      <c r="A44" s="16"/>
      <c r="B44" s="16"/>
      <c r="C44" s="16"/>
      <c r="D44" s="17"/>
      <c r="E44" s="17"/>
      <c r="F44" s="16"/>
      <c r="G44" s="16"/>
      <c r="H44" s="16"/>
      <c r="I44" s="16"/>
      <c r="J44" s="16"/>
      <c r="K44" s="16"/>
      <c r="L44" s="17"/>
      <c r="M44" s="17"/>
      <c r="N44" s="17"/>
      <c r="O44" s="18"/>
      <c r="P44" s="16"/>
      <c r="Q44" s="16"/>
      <c r="R44" s="19" t="str">
        <f t="shared" si="0"/>
        <v/>
      </c>
      <c r="S44" s="19" t="str">
        <f t="shared" si="1"/>
        <v/>
      </c>
      <c r="T44" s="17"/>
      <c r="U44" s="16"/>
      <c r="V44" s="16"/>
      <c r="W44" s="16"/>
      <c r="X44" s="16"/>
      <c r="Y44" s="16"/>
      <c r="Z44" s="16"/>
      <c r="AA44" s="16"/>
      <c r="AB44" s="20" t="str">
        <f>IF(A44="","",COUNTIF(Variants!$A$3:$A$1502,A44))</f>
        <v/>
      </c>
      <c r="AC44" s="21" t="str">
        <f>IF(A44="","",IF(IF(E44="","description, ","")&amp;IF(AND(O44="",COUNTIFS(Variants!$A$3:$A$1502,A44,Variants!$K$3:$K$1502,"&lt;&gt;")=0),"price, ","")&amp;IF(T44="","image, ","")&amp;IF(B44="","category, ","")&amp;IF(N(AB44)=0,"variant, ","")&amp;IF(AND(P44="Percentage",N(Q44)&gt;100),"discount over 100%, ","")&amp;IF(AND(P44="Fixed amount",O44&lt;&gt;"",N(Q44)&gt;N(O44)),"discount over price, ","")="","Ready","Missing: "&amp;LEFT(IF(E44="","description, ","")&amp;IF(AND(O44="",COUNTIFS(Variants!$A$3:$A$1502,A44,Variants!$K$3:$K$1502,"&lt;&gt;")=0),"price, ","")&amp;IF(T44="","image, ","")&amp;IF(B44="","category, ","")&amp;IF(N(AB44)=0,"variant, ","")&amp;IF(AND(P44="Percentage",N(Q44)&gt;100),"discount over 100%, ","")&amp;IF(AND(P44="Fixed amount",O44&lt;&gt;"",N(Q44)&gt;N(O44)),"discount over price, ",""),LEN(IF(E44="","description, ","")&amp;IF(AND(O44="",COUNTIFS(Variants!$A$3:$A$1502,A44,Variants!$K$3:$K$1502,"&lt;&gt;")=0),"price, ","")&amp;IF(T44="","image, ","")&amp;IF(B44="","category, ","")&amp;IF(N(AB44)=0,"variant, ","")&amp;IF(AND(P44="Percentage",N(Q44)&gt;100),"discount over 100%, ","")&amp;IF(AND(P44="Fixed amount",O44&lt;&gt;"",N(Q44)&gt;N(O44)),"discount over price, ",""))-2)))</f>
        <v/>
      </c>
    </row>
    <row r="45" spans="1:29" x14ac:dyDescent="0.3">
      <c r="A45" s="16"/>
      <c r="B45" s="16"/>
      <c r="C45" s="16"/>
      <c r="D45" s="17"/>
      <c r="E45" s="17"/>
      <c r="F45" s="16"/>
      <c r="G45" s="16"/>
      <c r="H45" s="16"/>
      <c r="I45" s="16"/>
      <c r="J45" s="16"/>
      <c r="K45" s="16"/>
      <c r="L45" s="17"/>
      <c r="M45" s="17"/>
      <c r="N45" s="17"/>
      <c r="O45" s="18"/>
      <c r="P45" s="16"/>
      <c r="Q45" s="16"/>
      <c r="R45" s="19" t="str">
        <f t="shared" si="0"/>
        <v/>
      </c>
      <c r="S45" s="19" t="str">
        <f t="shared" si="1"/>
        <v/>
      </c>
      <c r="T45" s="17"/>
      <c r="U45" s="16"/>
      <c r="V45" s="16"/>
      <c r="W45" s="16"/>
      <c r="X45" s="16"/>
      <c r="Y45" s="16"/>
      <c r="Z45" s="16"/>
      <c r="AA45" s="16"/>
      <c r="AB45" s="20" t="str">
        <f>IF(A45="","",COUNTIF(Variants!$A$3:$A$1502,A45))</f>
        <v/>
      </c>
      <c r="AC45" s="21" t="str">
        <f>IF(A45="","",IF(IF(E45="","description, ","")&amp;IF(AND(O45="",COUNTIFS(Variants!$A$3:$A$1502,A45,Variants!$K$3:$K$1502,"&lt;&gt;")=0),"price, ","")&amp;IF(T45="","image, ","")&amp;IF(B45="","category, ","")&amp;IF(N(AB45)=0,"variant, ","")&amp;IF(AND(P45="Percentage",N(Q45)&gt;100),"discount over 100%, ","")&amp;IF(AND(P45="Fixed amount",O45&lt;&gt;"",N(Q45)&gt;N(O45)),"discount over price, ","")="","Ready","Missing: "&amp;LEFT(IF(E45="","description, ","")&amp;IF(AND(O45="",COUNTIFS(Variants!$A$3:$A$1502,A45,Variants!$K$3:$K$1502,"&lt;&gt;")=0),"price, ","")&amp;IF(T45="","image, ","")&amp;IF(B45="","category, ","")&amp;IF(N(AB45)=0,"variant, ","")&amp;IF(AND(P45="Percentage",N(Q45)&gt;100),"discount over 100%, ","")&amp;IF(AND(P45="Fixed amount",O45&lt;&gt;"",N(Q45)&gt;N(O45)),"discount over price, ",""),LEN(IF(E45="","description, ","")&amp;IF(AND(O45="",COUNTIFS(Variants!$A$3:$A$1502,A45,Variants!$K$3:$K$1502,"&lt;&gt;")=0),"price, ","")&amp;IF(T45="","image, ","")&amp;IF(B45="","category, ","")&amp;IF(N(AB45)=0,"variant, ","")&amp;IF(AND(P45="Percentage",N(Q45)&gt;100),"discount over 100%, ","")&amp;IF(AND(P45="Fixed amount",O45&lt;&gt;"",N(Q45)&gt;N(O45)),"discount over price, ",""))-2)))</f>
        <v/>
      </c>
    </row>
    <row r="46" spans="1:29" x14ac:dyDescent="0.3">
      <c r="A46" s="16"/>
      <c r="B46" s="16"/>
      <c r="C46" s="16"/>
      <c r="D46" s="17"/>
      <c r="E46" s="17"/>
      <c r="F46" s="16"/>
      <c r="G46" s="16"/>
      <c r="H46" s="16"/>
      <c r="I46" s="16"/>
      <c r="J46" s="16"/>
      <c r="K46" s="16"/>
      <c r="L46" s="17"/>
      <c r="M46" s="17"/>
      <c r="N46" s="17"/>
      <c r="O46" s="18"/>
      <c r="P46" s="16"/>
      <c r="Q46" s="16"/>
      <c r="R46" s="19" t="str">
        <f t="shared" si="0"/>
        <v/>
      </c>
      <c r="S46" s="19" t="str">
        <f t="shared" si="1"/>
        <v/>
      </c>
      <c r="T46" s="17"/>
      <c r="U46" s="16"/>
      <c r="V46" s="16"/>
      <c r="W46" s="16"/>
      <c r="X46" s="16"/>
      <c r="Y46" s="16"/>
      <c r="Z46" s="16"/>
      <c r="AA46" s="16"/>
      <c r="AB46" s="20" t="str">
        <f>IF(A46="","",COUNTIF(Variants!$A$3:$A$1502,A46))</f>
        <v/>
      </c>
      <c r="AC46" s="21" t="str">
        <f>IF(A46="","",IF(IF(E46="","description, ","")&amp;IF(AND(O46="",COUNTIFS(Variants!$A$3:$A$1502,A46,Variants!$K$3:$K$1502,"&lt;&gt;")=0),"price, ","")&amp;IF(T46="","image, ","")&amp;IF(B46="","category, ","")&amp;IF(N(AB46)=0,"variant, ","")&amp;IF(AND(P46="Percentage",N(Q46)&gt;100),"discount over 100%, ","")&amp;IF(AND(P46="Fixed amount",O46&lt;&gt;"",N(Q46)&gt;N(O46)),"discount over price, ","")="","Ready","Missing: "&amp;LEFT(IF(E46="","description, ","")&amp;IF(AND(O46="",COUNTIFS(Variants!$A$3:$A$1502,A46,Variants!$K$3:$K$1502,"&lt;&gt;")=0),"price, ","")&amp;IF(T46="","image, ","")&amp;IF(B46="","category, ","")&amp;IF(N(AB46)=0,"variant, ","")&amp;IF(AND(P46="Percentage",N(Q46)&gt;100),"discount over 100%, ","")&amp;IF(AND(P46="Fixed amount",O46&lt;&gt;"",N(Q46)&gt;N(O46)),"discount over price, ",""),LEN(IF(E46="","description, ","")&amp;IF(AND(O46="",COUNTIFS(Variants!$A$3:$A$1502,A46,Variants!$K$3:$K$1502,"&lt;&gt;")=0),"price, ","")&amp;IF(T46="","image, ","")&amp;IF(B46="","category, ","")&amp;IF(N(AB46)=0,"variant, ","")&amp;IF(AND(P46="Percentage",N(Q46)&gt;100),"discount over 100%, ","")&amp;IF(AND(P46="Fixed amount",O46&lt;&gt;"",N(Q46)&gt;N(O46)),"discount over price, ",""))-2)))</f>
        <v/>
      </c>
    </row>
    <row r="47" spans="1:29" x14ac:dyDescent="0.3">
      <c r="A47" s="16"/>
      <c r="B47" s="16"/>
      <c r="C47" s="16"/>
      <c r="D47" s="17"/>
      <c r="E47" s="17"/>
      <c r="F47" s="16"/>
      <c r="G47" s="16"/>
      <c r="H47" s="16"/>
      <c r="I47" s="16"/>
      <c r="J47" s="16"/>
      <c r="K47" s="16"/>
      <c r="L47" s="17"/>
      <c r="M47" s="17"/>
      <c r="N47" s="17"/>
      <c r="O47" s="18"/>
      <c r="P47" s="16"/>
      <c r="Q47" s="16"/>
      <c r="R47" s="19" t="str">
        <f t="shared" si="0"/>
        <v/>
      </c>
      <c r="S47" s="19" t="str">
        <f t="shared" si="1"/>
        <v/>
      </c>
      <c r="T47" s="17"/>
      <c r="U47" s="16"/>
      <c r="V47" s="16"/>
      <c r="W47" s="16"/>
      <c r="X47" s="16"/>
      <c r="Y47" s="16"/>
      <c r="Z47" s="16"/>
      <c r="AA47" s="16"/>
      <c r="AB47" s="20" t="str">
        <f>IF(A47="","",COUNTIF(Variants!$A$3:$A$1502,A47))</f>
        <v/>
      </c>
      <c r="AC47" s="21" t="str">
        <f>IF(A47="","",IF(IF(E47="","description, ","")&amp;IF(AND(O47="",COUNTIFS(Variants!$A$3:$A$1502,A47,Variants!$K$3:$K$1502,"&lt;&gt;")=0),"price, ","")&amp;IF(T47="","image, ","")&amp;IF(B47="","category, ","")&amp;IF(N(AB47)=0,"variant, ","")&amp;IF(AND(P47="Percentage",N(Q47)&gt;100),"discount over 100%, ","")&amp;IF(AND(P47="Fixed amount",O47&lt;&gt;"",N(Q47)&gt;N(O47)),"discount over price, ","")="","Ready","Missing: "&amp;LEFT(IF(E47="","description, ","")&amp;IF(AND(O47="",COUNTIFS(Variants!$A$3:$A$1502,A47,Variants!$K$3:$K$1502,"&lt;&gt;")=0),"price, ","")&amp;IF(T47="","image, ","")&amp;IF(B47="","category, ","")&amp;IF(N(AB47)=0,"variant, ","")&amp;IF(AND(P47="Percentage",N(Q47)&gt;100),"discount over 100%, ","")&amp;IF(AND(P47="Fixed amount",O47&lt;&gt;"",N(Q47)&gt;N(O47)),"discount over price, ",""),LEN(IF(E47="","description, ","")&amp;IF(AND(O47="",COUNTIFS(Variants!$A$3:$A$1502,A47,Variants!$K$3:$K$1502,"&lt;&gt;")=0),"price, ","")&amp;IF(T47="","image, ","")&amp;IF(B47="","category, ","")&amp;IF(N(AB47)=0,"variant, ","")&amp;IF(AND(P47="Percentage",N(Q47)&gt;100),"discount over 100%, ","")&amp;IF(AND(P47="Fixed amount",O47&lt;&gt;"",N(Q47)&gt;N(O47)),"discount over price, ",""))-2)))</f>
        <v/>
      </c>
    </row>
    <row r="48" spans="1:29" x14ac:dyDescent="0.3">
      <c r="A48" s="16"/>
      <c r="B48" s="16"/>
      <c r="C48" s="16"/>
      <c r="D48" s="17"/>
      <c r="E48" s="17"/>
      <c r="F48" s="16"/>
      <c r="G48" s="16"/>
      <c r="H48" s="16"/>
      <c r="I48" s="16"/>
      <c r="J48" s="16"/>
      <c r="K48" s="16"/>
      <c r="L48" s="17"/>
      <c r="M48" s="17"/>
      <c r="N48" s="17"/>
      <c r="O48" s="18"/>
      <c r="P48" s="16"/>
      <c r="Q48" s="16"/>
      <c r="R48" s="19" t="str">
        <f t="shared" si="0"/>
        <v/>
      </c>
      <c r="S48" s="19" t="str">
        <f t="shared" si="1"/>
        <v/>
      </c>
      <c r="T48" s="17"/>
      <c r="U48" s="16"/>
      <c r="V48" s="16"/>
      <c r="W48" s="16"/>
      <c r="X48" s="16"/>
      <c r="Y48" s="16"/>
      <c r="Z48" s="16"/>
      <c r="AA48" s="16"/>
      <c r="AB48" s="20" t="str">
        <f>IF(A48="","",COUNTIF(Variants!$A$3:$A$1502,A48))</f>
        <v/>
      </c>
      <c r="AC48" s="21" t="str">
        <f>IF(A48="","",IF(IF(E48="","description, ","")&amp;IF(AND(O48="",COUNTIFS(Variants!$A$3:$A$1502,A48,Variants!$K$3:$K$1502,"&lt;&gt;")=0),"price, ","")&amp;IF(T48="","image, ","")&amp;IF(B48="","category, ","")&amp;IF(N(AB48)=0,"variant, ","")&amp;IF(AND(P48="Percentage",N(Q48)&gt;100),"discount over 100%, ","")&amp;IF(AND(P48="Fixed amount",O48&lt;&gt;"",N(Q48)&gt;N(O48)),"discount over price, ","")="","Ready","Missing: "&amp;LEFT(IF(E48="","description, ","")&amp;IF(AND(O48="",COUNTIFS(Variants!$A$3:$A$1502,A48,Variants!$K$3:$K$1502,"&lt;&gt;")=0),"price, ","")&amp;IF(T48="","image, ","")&amp;IF(B48="","category, ","")&amp;IF(N(AB48)=0,"variant, ","")&amp;IF(AND(P48="Percentage",N(Q48)&gt;100),"discount over 100%, ","")&amp;IF(AND(P48="Fixed amount",O48&lt;&gt;"",N(Q48)&gt;N(O48)),"discount over price, ",""),LEN(IF(E48="","description, ","")&amp;IF(AND(O48="",COUNTIFS(Variants!$A$3:$A$1502,A48,Variants!$K$3:$K$1502,"&lt;&gt;")=0),"price, ","")&amp;IF(T48="","image, ","")&amp;IF(B48="","category, ","")&amp;IF(N(AB48)=0,"variant, ","")&amp;IF(AND(P48="Percentage",N(Q48)&gt;100),"discount over 100%, ","")&amp;IF(AND(P48="Fixed amount",O48&lt;&gt;"",N(Q48)&gt;N(O48)),"discount over price, ",""))-2)))</f>
        <v/>
      </c>
    </row>
    <row r="49" spans="1:29" x14ac:dyDescent="0.3">
      <c r="A49" s="16"/>
      <c r="B49" s="16"/>
      <c r="C49" s="16"/>
      <c r="D49" s="17"/>
      <c r="E49" s="17"/>
      <c r="F49" s="16"/>
      <c r="G49" s="16"/>
      <c r="H49" s="16"/>
      <c r="I49" s="16"/>
      <c r="J49" s="16"/>
      <c r="K49" s="16"/>
      <c r="L49" s="17"/>
      <c r="M49" s="17"/>
      <c r="N49" s="17"/>
      <c r="O49" s="18"/>
      <c r="P49" s="16"/>
      <c r="Q49" s="16"/>
      <c r="R49" s="19" t="str">
        <f t="shared" si="0"/>
        <v/>
      </c>
      <c r="S49" s="19" t="str">
        <f t="shared" si="1"/>
        <v/>
      </c>
      <c r="T49" s="17"/>
      <c r="U49" s="16"/>
      <c r="V49" s="16"/>
      <c r="W49" s="16"/>
      <c r="X49" s="16"/>
      <c r="Y49" s="16"/>
      <c r="Z49" s="16"/>
      <c r="AA49" s="16"/>
      <c r="AB49" s="20" t="str">
        <f>IF(A49="","",COUNTIF(Variants!$A$3:$A$1502,A49))</f>
        <v/>
      </c>
      <c r="AC49" s="21" t="str">
        <f>IF(A49="","",IF(IF(E49="","description, ","")&amp;IF(AND(O49="",COUNTIFS(Variants!$A$3:$A$1502,A49,Variants!$K$3:$K$1502,"&lt;&gt;")=0),"price, ","")&amp;IF(T49="","image, ","")&amp;IF(B49="","category, ","")&amp;IF(N(AB49)=0,"variant, ","")&amp;IF(AND(P49="Percentage",N(Q49)&gt;100),"discount over 100%, ","")&amp;IF(AND(P49="Fixed amount",O49&lt;&gt;"",N(Q49)&gt;N(O49)),"discount over price, ","")="","Ready","Missing: "&amp;LEFT(IF(E49="","description, ","")&amp;IF(AND(O49="",COUNTIFS(Variants!$A$3:$A$1502,A49,Variants!$K$3:$K$1502,"&lt;&gt;")=0),"price, ","")&amp;IF(T49="","image, ","")&amp;IF(B49="","category, ","")&amp;IF(N(AB49)=0,"variant, ","")&amp;IF(AND(P49="Percentage",N(Q49)&gt;100),"discount over 100%, ","")&amp;IF(AND(P49="Fixed amount",O49&lt;&gt;"",N(Q49)&gt;N(O49)),"discount over price, ",""),LEN(IF(E49="","description, ","")&amp;IF(AND(O49="",COUNTIFS(Variants!$A$3:$A$1502,A49,Variants!$K$3:$K$1502,"&lt;&gt;")=0),"price, ","")&amp;IF(T49="","image, ","")&amp;IF(B49="","category, ","")&amp;IF(N(AB49)=0,"variant, ","")&amp;IF(AND(P49="Percentage",N(Q49)&gt;100),"discount over 100%, ","")&amp;IF(AND(P49="Fixed amount",O49&lt;&gt;"",N(Q49)&gt;N(O49)),"discount over price, ",""))-2)))</f>
        <v/>
      </c>
    </row>
    <row r="50" spans="1:29" x14ac:dyDescent="0.3">
      <c r="A50" s="16"/>
      <c r="B50" s="16"/>
      <c r="C50" s="16"/>
      <c r="D50" s="17"/>
      <c r="E50" s="17"/>
      <c r="F50" s="16"/>
      <c r="G50" s="16"/>
      <c r="H50" s="16"/>
      <c r="I50" s="16"/>
      <c r="J50" s="16"/>
      <c r="K50" s="16"/>
      <c r="L50" s="17"/>
      <c r="M50" s="17"/>
      <c r="N50" s="17"/>
      <c r="O50" s="18"/>
      <c r="P50" s="16"/>
      <c r="Q50" s="16"/>
      <c r="R50" s="19" t="str">
        <f t="shared" si="0"/>
        <v/>
      </c>
      <c r="S50" s="19" t="str">
        <f t="shared" si="1"/>
        <v/>
      </c>
      <c r="T50" s="17"/>
      <c r="U50" s="16"/>
      <c r="V50" s="16"/>
      <c r="W50" s="16"/>
      <c r="X50" s="16"/>
      <c r="Y50" s="16"/>
      <c r="Z50" s="16"/>
      <c r="AA50" s="16"/>
      <c r="AB50" s="20" t="str">
        <f>IF(A50="","",COUNTIF(Variants!$A$3:$A$1502,A50))</f>
        <v/>
      </c>
      <c r="AC50" s="21" t="str">
        <f>IF(A50="","",IF(IF(E50="","description, ","")&amp;IF(AND(O50="",COUNTIFS(Variants!$A$3:$A$1502,A50,Variants!$K$3:$K$1502,"&lt;&gt;")=0),"price, ","")&amp;IF(T50="","image, ","")&amp;IF(B50="","category, ","")&amp;IF(N(AB50)=0,"variant, ","")&amp;IF(AND(P50="Percentage",N(Q50)&gt;100),"discount over 100%, ","")&amp;IF(AND(P50="Fixed amount",O50&lt;&gt;"",N(Q50)&gt;N(O50)),"discount over price, ","")="","Ready","Missing: "&amp;LEFT(IF(E50="","description, ","")&amp;IF(AND(O50="",COUNTIFS(Variants!$A$3:$A$1502,A50,Variants!$K$3:$K$1502,"&lt;&gt;")=0),"price, ","")&amp;IF(T50="","image, ","")&amp;IF(B50="","category, ","")&amp;IF(N(AB50)=0,"variant, ","")&amp;IF(AND(P50="Percentage",N(Q50)&gt;100),"discount over 100%, ","")&amp;IF(AND(P50="Fixed amount",O50&lt;&gt;"",N(Q50)&gt;N(O50)),"discount over price, ",""),LEN(IF(E50="","description, ","")&amp;IF(AND(O50="",COUNTIFS(Variants!$A$3:$A$1502,A50,Variants!$K$3:$K$1502,"&lt;&gt;")=0),"price, ","")&amp;IF(T50="","image, ","")&amp;IF(B50="","category, ","")&amp;IF(N(AB50)=0,"variant, ","")&amp;IF(AND(P50="Percentage",N(Q50)&gt;100),"discount over 100%, ","")&amp;IF(AND(P50="Fixed amount",O50&lt;&gt;"",N(Q50)&gt;N(O50)),"discount over price, ",""))-2)))</f>
        <v/>
      </c>
    </row>
    <row r="51" spans="1:29" x14ac:dyDescent="0.3">
      <c r="A51" s="16"/>
      <c r="B51" s="16"/>
      <c r="C51" s="16"/>
      <c r="D51" s="17"/>
      <c r="E51" s="17"/>
      <c r="F51" s="16"/>
      <c r="G51" s="16"/>
      <c r="H51" s="16"/>
      <c r="I51" s="16"/>
      <c r="J51" s="16"/>
      <c r="K51" s="16"/>
      <c r="L51" s="17"/>
      <c r="M51" s="17"/>
      <c r="N51" s="17"/>
      <c r="O51" s="18"/>
      <c r="P51" s="16"/>
      <c r="Q51" s="16"/>
      <c r="R51" s="19" t="str">
        <f t="shared" si="0"/>
        <v/>
      </c>
      <c r="S51" s="19" t="str">
        <f t="shared" si="1"/>
        <v/>
      </c>
      <c r="T51" s="17"/>
      <c r="U51" s="16"/>
      <c r="V51" s="16"/>
      <c r="W51" s="16"/>
      <c r="X51" s="16"/>
      <c r="Y51" s="16"/>
      <c r="Z51" s="16"/>
      <c r="AA51" s="16"/>
      <c r="AB51" s="20" t="str">
        <f>IF(A51="","",COUNTIF(Variants!$A$3:$A$1502,A51))</f>
        <v/>
      </c>
      <c r="AC51" s="21" t="str">
        <f>IF(A51="","",IF(IF(E51="","description, ","")&amp;IF(AND(O51="",COUNTIFS(Variants!$A$3:$A$1502,A51,Variants!$K$3:$K$1502,"&lt;&gt;")=0),"price, ","")&amp;IF(T51="","image, ","")&amp;IF(B51="","category, ","")&amp;IF(N(AB51)=0,"variant, ","")&amp;IF(AND(P51="Percentage",N(Q51)&gt;100),"discount over 100%, ","")&amp;IF(AND(P51="Fixed amount",O51&lt;&gt;"",N(Q51)&gt;N(O51)),"discount over price, ","")="","Ready","Missing: "&amp;LEFT(IF(E51="","description, ","")&amp;IF(AND(O51="",COUNTIFS(Variants!$A$3:$A$1502,A51,Variants!$K$3:$K$1502,"&lt;&gt;")=0),"price, ","")&amp;IF(T51="","image, ","")&amp;IF(B51="","category, ","")&amp;IF(N(AB51)=0,"variant, ","")&amp;IF(AND(P51="Percentage",N(Q51)&gt;100),"discount over 100%, ","")&amp;IF(AND(P51="Fixed amount",O51&lt;&gt;"",N(Q51)&gt;N(O51)),"discount over price, ",""),LEN(IF(E51="","description, ","")&amp;IF(AND(O51="",COUNTIFS(Variants!$A$3:$A$1502,A51,Variants!$K$3:$K$1502,"&lt;&gt;")=0),"price, ","")&amp;IF(T51="","image, ","")&amp;IF(B51="","category, ","")&amp;IF(N(AB51)=0,"variant, ","")&amp;IF(AND(P51="Percentage",N(Q51)&gt;100),"discount over 100%, ","")&amp;IF(AND(P51="Fixed amount",O51&lt;&gt;"",N(Q51)&gt;N(O51)),"discount over price, ",""))-2)))</f>
        <v/>
      </c>
    </row>
    <row r="52" spans="1:29" x14ac:dyDescent="0.3">
      <c r="A52" s="16"/>
      <c r="B52" s="16"/>
      <c r="C52" s="16"/>
      <c r="D52" s="17"/>
      <c r="E52" s="17"/>
      <c r="F52" s="16"/>
      <c r="G52" s="16"/>
      <c r="H52" s="16"/>
      <c r="I52" s="16"/>
      <c r="J52" s="16"/>
      <c r="K52" s="16"/>
      <c r="L52" s="17"/>
      <c r="M52" s="17"/>
      <c r="N52" s="17"/>
      <c r="O52" s="18"/>
      <c r="P52" s="16"/>
      <c r="Q52" s="16"/>
      <c r="R52" s="19" t="str">
        <f t="shared" si="0"/>
        <v/>
      </c>
      <c r="S52" s="19" t="str">
        <f t="shared" si="1"/>
        <v/>
      </c>
      <c r="T52" s="17"/>
      <c r="U52" s="16"/>
      <c r="V52" s="16"/>
      <c r="W52" s="16"/>
      <c r="X52" s="16"/>
      <c r="Y52" s="16"/>
      <c r="Z52" s="16"/>
      <c r="AA52" s="16"/>
      <c r="AB52" s="20" t="str">
        <f>IF(A52="","",COUNTIF(Variants!$A$3:$A$1502,A52))</f>
        <v/>
      </c>
      <c r="AC52" s="21" t="str">
        <f>IF(A52="","",IF(IF(E52="","description, ","")&amp;IF(AND(O52="",COUNTIFS(Variants!$A$3:$A$1502,A52,Variants!$K$3:$K$1502,"&lt;&gt;")=0),"price, ","")&amp;IF(T52="","image, ","")&amp;IF(B52="","category, ","")&amp;IF(N(AB52)=0,"variant, ","")&amp;IF(AND(P52="Percentage",N(Q52)&gt;100),"discount over 100%, ","")&amp;IF(AND(P52="Fixed amount",O52&lt;&gt;"",N(Q52)&gt;N(O52)),"discount over price, ","")="","Ready","Missing: "&amp;LEFT(IF(E52="","description, ","")&amp;IF(AND(O52="",COUNTIFS(Variants!$A$3:$A$1502,A52,Variants!$K$3:$K$1502,"&lt;&gt;")=0),"price, ","")&amp;IF(T52="","image, ","")&amp;IF(B52="","category, ","")&amp;IF(N(AB52)=0,"variant, ","")&amp;IF(AND(P52="Percentage",N(Q52)&gt;100),"discount over 100%, ","")&amp;IF(AND(P52="Fixed amount",O52&lt;&gt;"",N(Q52)&gt;N(O52)),"discount over price, ",""),LEN(IF(E52="","description, ","")&amp;IF(AND(O52="",COUNTIFS(Variants!$A$3:$A$1502,A52,Variants!$K$3:$K$1502,"&lt;&gt;")=0),"price, ","")&amp;IF(T52="","image, ","")&amp;IF(B52="","category, ","")&amp;IF(N(AB52)=0,"variant, ","")&amp;IF(AND(P52="Percentage",N(Q52)&gt;100),"discount over 100%, ","")&amp;IF(AND(P52="Fixed amount",O52&lt;&gt;"",N(Q52)&gt;N(O52)),"discount over price, ",""))-2)))</f>
        <v/>
      </c>
    </row>
    <row r="53" spans="1:29" x14ac:dyDescent="0.3">
      <c r="A53" s="16"/>
      <c r="B53" s="16"/>
      <c r="C53" s="16"/>
      <c r="D53" s="17"/>
      <c r="E53" s="17"/>
      <c r="F53" s="16"/>
      <c r="G53" s="16"/>
      <c r="H53" s="16"/>
      <c r="I53" s="16"/>
      <c r="J53" s="16"/>
      <c r="K53" s="16"/>
      <c r="L53" s="17"/>
      <c r="M53" s="17"/>
      <c r="N53" s="17"/>
      <c r="O53" s="18"/>
      <c r="P53" s="16"/>
      <c r="Q53" s="16"/>
      <c r="R53" s="19" t="str">
        <f t="shared" si="0"/>
        <v/>
      </c>
      <c r="S53" s="19" t="str">
        <f t="shared" si="1"/>
        <v/>
      </c>
      <c r="T53" s="17"/>
      <c r="U53" s="16"/>
      <c r="V53" s="16"/>
      <c r="W53" s="16"/>
      <c r="X53" s="16"/>
      <c r="Y53" s="16"/>
      <c r="Z53" s="16"/>
      <c r="AA53" s="16"/>
      <c r="AB53" s="20" t="str">
        <f>IF(A53="","",COUNTIF(Variants!$A$3:$A$1502,A53))</f>
        <v/>
      </c>
      <c r="AC53" s="21" t="str">
        <f>IF(A53="","",IF(IF(E53="","description, ","")&amp;IF(AND(O53="",COUNTIFS(Variants!$A$3:$A$1502,A53,Variants!$K$3:$K$1502,"&lt;&gt;")=0),"price, ","")&amp;IF(T53="","image, ","")&amp;IF(B53="","category, ","")&amp;IF(N(AB53)=0,"variant, ","")&amp;IF(AND(P53="Percentage",N(Q53)&gt;100),"discount over 100%, ","")&amp;IF(AND(P53="Fixed amount",O53&lt;&gt;"",N(Q53)&gt;N(O53)),"discount over price, ","")="","Ready","Missing: "&amp;LEFT(IF(E53="","description, ","")&amp;IF(AND(O53="",COUNTIFS(Variants!$A$3:$A$1502,A53,Variants!$K$3:$K$1502,"&lt;&gt;")=0),"price, ","")&amp;IF(T53="","image, ","")&amp;IF(B53="","category, ","")&amp;IF(N(AB53)=0,"variant, ","")&amp;IF(AND(P53="Percentage",N(Q53)&gt;100),"discount over 100%, ","")&amp;IF(AND(P53="Fixed amount",O53&lt;&gt;"",N(Q53)&gt;N(O53)),"discount over price, ",""),LEN(IF(E53="","description, ","")&amp;IF(AND(O53="",COUNTIFS(Variants!$A$3:$A$1502,A53,Variants!$K$3:$K$1502,"&lt;&gt;")=0),"price, ","")&amp;IF(T53="","image, ","")&amp;IF(B53="","category, ","")&amp;IF(N(AB53)=0,"variant, ","")&amp;IF(AND(P53="Percentage",N(Q53)&gt;100),"discount over 100%, ","")&amp;IF(AND(P53="Fixed amount",O53&lt;&gt;"",N(Q53)&gt;N(O53)),"discount over price, ",""))-2)))</f>
        <v/>
      </c>
    </row>
    <row r="54" spans="1:29" x14ac:dyDescent="0.3">
      <c r="A54" s="16"/>
      <c r="B54" s="16"/>
      <c r="C54" s="16"/>
      <c r="D54" s="17"/>
      <c r="E54" s="17"/>
      <c r="F54" s="16"/>
      <c r="G54" s="16"/>
      <c r="H54" s="16"/>
      <c r="I54" s="16"/>
      <c r="J54" s="16"/>
      <c r="K54" s="16"/>
      <c r="L54" s="17"/>
      <c r="M54" s="17"/>
      <c r="N54" s="17"/>
      <c r="O54" s="18"/>
      <c r="P54" s="16"/>
      <c r="Q54" s="16"/>
      <c r="R54" s="19" t="str">
        <f t="shared" si="0"/>
        <v/>
      </c>
      <c r="S54" s="19" t="str">
        <f t="shared" si="1"/>
        <v/>
      </c>
      <c r="T54" s="17"/>
      <c r="U54" s="16"/>
      <c r="V54" s="16"/>
      <c r="W54" s="16"/>
      <c r="X54" s="16"/>
      <c r="Y54" s="16"/>
      <c r="Z54" s="16"/>
      <c r="AA54" s="16"/>
      <c r="AB54" s="20" t="str">
        <f>IF(A54="","",COUNTIF(Variants!$A$3:$A$1502,A54))</f>
        <v/>
      </c>
      <c r="AC54" s="21" t="str">
        <f>IF(A54="","",IF(IF(E54="","description, ","")&amp;IF(AND(O54="",COUNTIFS(Variants!$A$3:$A$1502,A54,Variants!$K$3:$K$1502,"&lt;&gt;")=0),"price, ","")&amp;IF(T54="","image, ","")&amp;IF(B54="","category, ","")&amp;IF(N(AB54)=0,"variant, ","")&amp;IF(AND(P54="Percentage",N(Q54)&gt;100),"discount over 100%, ","")&amp;IF(AND(P54="Fixed amount",O54&lt;&gt;"",N(Q54)&gt;N(O54)),"discount over price, ","")="","Ready","Missing: "&amp;LEFT(IF(E54="","description, ","")&amp;IF(AND(O54="",COUNTIFS(Variants!$A$3:$A$1502,A54,Variants!$K$3:$K$1502,"&lt;&gt;")=0),"price, ","")&amp;IF(T54="","image, ","")&amp;IF(B54="","category, ","")&amp;IF(N(AB54)=0,"variant, ","")&amp;IF(AND(P54="Percentage",N(Q54)&gt;100),"discount over 100%, ","")&amp;IF(AND(P54="Fixed amount",O54&lt;&gt;"",N(Q54)&gt;N(O54)),"discount over price, ",""),LEN(IF(E54="","description, ","")&amp;IF(AND(O54="",COUNTIFS(Variants!$A$3:$A$1502,A54,Variants!$K$3:$K$1502,"&lt;&gt;")=0),"price, ","")&amp;IF(T54="","image, ","")&amp;IF(B54="","category, ","")&amp;IF(N(AB54)=0,"variant, ","")&amp;IF(AND(P54="Percentage",N(Q54)&gt;100),"discount over 100%, ","")&amp;IF(AND(P54="Fixed amount",O54&lt;&gt;"",N(Q54)&gt;N(O54)),"discount over price, ",""))-2)))</f>
        <v/>
      </c>
    </row>
    <row r="55" spans="1:29" x14ac:dyDescent="0.3">
      <c r="A55" s="16"/>
      <c r="B55" s="16"/>
      <c r="C55" s="16"/>
      <c r="D55" s="17"/>
      <c r="E55" s="17"/>
      <c r="F55" s="16"/>
      <c r="G55" s="16"/>
      <c r="H55" s="16"/>
      <c r="I55" s="16"/>
      <c r="J55" s="16"/>
      <c r="K55" s="16"/>
      <c r="L55" s="17"/>
      <c r="M55" s="17"/>
      <c r="N55" s="17"/>
      <c r="O55" s="18"/>
      <c r="P55" s="16"/>
      <c r="Q55" s="16"/>
      <c r="R55" s="19" t="str">
        <f t="shared" si="0"/>
        <v/>
      </c>
      <c r="S55" s="19" t="str">
        <f t="shared" si="1"/>
        <v/>
      </c>
      <c r="T55" s="17"/>
      <c r="U55" s="16"/>
      <c r="V55" s="16"/>
      <c r="W55" s="16"/>
      <c r="X55" s="16"/>
      <c r="Y55" s="16"/>
      <c r="Z55" s="16"/>
      <c r="AA55" s="16"/>
      <c r="AB55" s="20" t="str">
        <f>IF(A55="","",COUNTIF(Variants!$A$3:$A$1502,A55))</f>
        <v/>
      </c>
      <c r="AC55" s="21" t="str">
        <f>IF(A55="","",IF(IF(E55="","description, ","")&amp;IF(AND(O55="",COUNTIFS(Variants!$A$3:$A$1502,A55,Variants!$K$3:$K$1502,"&lt;&gt;")=0),"price, ","")&amp;IF(T55="","image, ","")&amp;IF(B55="","category, ","")&amp;IF(N(AB55)=0,"variant, ","")&amp;IF(AND(P55="Percentage",N(Q55)&gt;100),"discount over 100%, ","")&amp;IF(AND(P55="Fixed amount",O55&lt;&gt;"",N(Q55)&gt;N(O55)),"discount over price, ","")="","Ready","Missing: "&amp;LEFT(IF(E55="","description, ","")&amp;IF(AND(O55="",COUNTIFS(Variants!$A$3:$A$1502,A55,Variants!$K$3:$K$1502,"&lt;&gt;")=0),"price, ","")&amp;IF(T55="","image, ","")&amp;IF(B55="","category, ","")&amp;IF(N(AB55)=0,"variant, ","")&amp;IF(AND(P55="Percentage",N(Q55)&gt;100),"discount over 100%, ","")&amp;IF(AND(P55="Fixed amount",O55&lt;&gt;"",N(Q55)&gt;N(O55)),"discount over price, ",""),LEN(IF(E55="","description, ","")&amp;IF(AND(O55="",COUNTIFS(Variants!$A$3:$A$1502,A55,Variants!$K$3:$K$1502,"&lt;&gt;")=0),"price, ","")&amp;IF(T55="","image, ","")&amp;IF(B55="","category, ","")&amp;IF(N(AB55)=0,"variant, ","")&amp;IF(AND(P55="Percentage",N(Q55)&gt;100),"discount over 100%, ","")&amp;IF(AND(P55="Fixed amount",O55&lt;&gt;"",N(Q55)&gt;N(O55)),"discount over price, ",""))-2)))</f>
        <v/>
      </c>
    </row>
    <row r="56" spans="1:29" x14ac:dyDescent="0.3">
      <c r="A56" s="16"/>
      <c r="B56" s="16"/>
      <c r="C56" s="16"/>
      <c r="D56" s="17"/>
      <c r="E56" s="17"/>
      <c r="F56" s="16"/>
      <c r="G56" s="16"/>
      <c r="H56" s="16"/>
      <c r="I56" s="16"/>
      <c r="J56" s="16"/>
      <c r="K56" s="16"/>
      <c r="L56" s="17"/>
      <c r="M56" s="17"/>
      <c r="N56" s="17"/>
      <c r="O56" s="18"/>
      <c r="P56" s="16"/>
      <c r="Q56" s="16"/>
      <c r="R56" s="19" t="str">
        <f t="shared" si="0"/>
        <v/>
      </c>
      <c r="S56" s="19" t="str">
        <f t="shared" si="1"/>
        <v/>
      </c>
      <c r="T56" s="17"/>
      <c r="U56" s="16"/>
      <c r="V56" s="16"/>
      <c r="W56" s="16"/>
      <c r="X56" s="16"/>
      <c r="Y56" s="16"/>
      <c r="Z56" s="16"/>
      <c r="AA56" s="16"/>
      <c r="AB56" s="20" t="str">
        <f>IF(A56="","",COUNTIF(Variants!$A$3:$A$1502,A56))</f>
        <v/>
      </c>
      <c r="AC56" s="21" t="str">
        <f>IF(A56="","",IF(IF(E56="","description, ","")&amp;IF(AND(O56="",COUNTIFS(Variants!$A$3:$A$1502,A56,Variants!$K$3:$K$1502,"&lt;&gt;")=0),"price, ","")&amp;IF(T56="","image, ","")&amp;IF(B56="","category, ","")&amp;IF(N(AB56)=0,"variant, ","")&amp;IF(AND(P56="Percentage",N(Q56)&gt;100),"discount over 100%, ","")&amp;IF(AND(P56="Fixed amount",O56&lt;&gt;"",N(Q56)&gt;N(O56)),"discount over price, ","")="","Ready","Missing: "&amp;LEFT(IF(E56="","description, ","")&amp;IF(AND(O56="",COUNTIFS(Variants!$A$3:$A$1502,A56,Variants!$K$3:$K$1502,"&lt;&gt;")=0),"price, ","")&amp;IF(T56="","image, ","")&amp;IF(B56="","category, ","")&amp;IF(N(AB56)=0,"variant, ","")&amp;IF(AND(P56="Percentage",N(Q56)&gt;100),"discount over 100%, ","")&amp;IF(AND(P56="Fixed amount",O56&lt;&gt;"",N(Q56)&gt;N(O56)),"discount over price, ",""),LEN(IF(E56="","description, ","")&amp;IF(AND(O56="",COUNTIFS(Variants!$A$3:$A$1502,A56,Variants!$K$3:$K$1502,"&lt;&gt;")=0),"price, ","")&amp;IF(T56="","image, ","")&amp;IF(B56="","category, ","")&amp;IF(N(AB56)=0,"variant, ","")&amp;IF(AND(P56="Percentage",N(Q56)&gt;100),"discount over 100%, ","")&amp;IF(AND(P56="Fixed amount",O56&lt;&gt;"",N(Q56)&gt;N(O56)),"discount over price, ",""))-2)))</f>
        <v/>
      </c>
    </row>
    <row r="57" spans="1:29" x14ac:dyDescent="0.3">
      <c r="A57" s="16"/>
      <c r="B57" s="16"/>
      <c r="C57" s="16"/>
      <c r="D57" s="17"/>
      <c r="E57" s="17"/>
      <c r="F57" s="16"/>
      <c r="G57" s="16"/>
      <c r="H57" s="16"/>
      <c r="I57" s="16"/>
      <c r="J57" s="16"/>
      <c r="K57" s="16"/>
      <c r="L57" s="17"/>
      <c r="M57" s="17"/>
      <c r="N57" s="17"/>
      <c r="O57" s="18"/>
      <c r="P57" s="16"/>
      <c r="Q57" s="16"/>
      <c r="R57" s="19" t="str">
        <f t="shared" si="0"/>
        <v/>
      </c>
      <c r="S57" s="19" t="str">
        <f t="shared" si="1"/>
        <v/>
      </c>
      <c r="T57" s="17"/>
      <c r="U57" s="16"/>
      <c r="V57" s="16"/>
      <c r="W57" s="16"/>
      <c r="X57" s="16"/>
      <c r="Y57" s="16"/>
      <c r="Z57" s="16"/>
      <c r="AA57" s="16"/>
      <c r="AB57" s="20" t="str">
        <f>IF(A57="","",COUNTIF(Variants!$A$3:$A$1502,A57))</f>
        <v/>
      </c>
      <c r="AC57" s="21" t="str">
        <f>IF(A57="","",IF(IF(E57="","description, ","")&amp;IF(AND(O57="",COUNTIFS(Variants!$A$3:$A$1502,A57,Variants!$K$3:$K$1502,"&lt;&gt;")=0),"price, ","")&amp;IF(T57="","image, ","")&amp;IF(B57="","category, ","")&amp;IF(N(AB57)=0,"variant, ","")&amp;IF(AND(P57="Percentage",N(Q57)&gt;100),"discount over 100%, ","")&amp;IF(AND(P57="Fixed amount",O57&lt;&gt;"",N(Q57)&gt;N(O57)),"discount over price, ","")="","Ready","Missing: "&amp;LEFT(IF(E57="","description, ","")&amp;IF(AND(O57="",COUNTIFS(Variants!$A$3:$A$1502,A57,Variants!$K$3:$K$1502,"&lt;&gt;")=0),"price, ","")&amp;IF(T57="","image, ","")&amp;IF(B57="","category, ","")&amp;IF(N(AB57)=0,"variant, ","")&amp;IF(AND(P57="Percentage",N(Q57)&gt;100),"discount over 100%, ","")&amp;IF(AND(P57="Fixed amount",O57&lt;&gt;"",N(Q57)&gt;N(O57)),"discount over price, ",""),LEN(IF(E57="","description, ","")&amp;IF(AND(O57="",COUNTIFS(Variants!$A$3:$A$1502,A57,Variants!$K$3:$K$1502,"&lt;&gt;")=0),"price, ","")&amp;IF(T57="","image, ","")&amp;IF(B57="","category, ","")&amp;IF(N(AB57)=0,"variant, ","")&amp;IF(AND(P57="Percentage",N(Q57)&gt;100),"discount over 100%, ","")&amp;IF(AND(P57="Fixed amount",O57&lt;&gt;"",N(Q57)&gt;N(O57)),"discount over price, ",""))-2)))</f>
        <v/>
      </c>
    </row>
    <row r="58" spans="1:29" x14ac:dyDescent="0.3">
      <c r="A58" s="16"/>
      <c r="B58" s="16"/>
      <c r="C58" s="16"/>
      <c r="D58" s="17"/>
      <c r="E58" s="17"/>
      <c r="F58" s="16"/>
      <c r="G58" s="16"/>
      <c r="H58" s="16"/>
      <c r="I58" s="16"/>
      <c r="J58" s="16"/>
      <c r="K58" s="16"/>
      <c r="L58" s="17"/>
      <c r="M58" s="17"/>
      <c r="N58" s="17"/>
      <c r="O58" s="18"/>
      <c r="P58" s="16"/>
      <c r="Q58" s="16"/>
      <c r="R58" s="19" t="str">
        <f t="shared" si="0"/>
        <v/>
      </c>
      <c r="S58" s="19" t="str">
        <f t="shared" si="1"/>
        <v/>
      </c>
      <c r="T58" s="17"/>
      <c r="U58" s="16"/>
      <c r="V58" s="16"/>
      <c r="W58" s="16"/>
      <c r="X58" s="16"/>
      <c r="Y58" s="16"/>
      <c r="Z58" s="16"/>
      <c r="AA58" s="16"/>
      <c r="AB58" s="20" t="str">
        <f>IF(A58="","",COUNTIF(Variants!$A$3:$A$1502,A58))</f>
        <v/>
      </c>
      <c r="AC58" s="21" t="str">
        <f>IF(A58="","",IF(IF(E58="","description, ","")&amp;IF(AND(O58="",COUNTIFS(Variants!$A$3:$A$1502,A58,Variants!$K$3:$K$1502,"&lt;&gt;")=0),"price, ","")&amp;IF(T58="","image, ","")&amp;IF(B58="","category, ","")&amp;IF(N(AB58)=0,"variant, ","")&amp;IF(AND(P58="Percentage",N(Q58)&gt;100),"discount over 100%, ","")&amp;IF(AND(P58="Fixed amount",O58&lt;&gt;"",N(Q58)&gt;N(O58)),"discount over price, ","")="","Ready","Missing: "&amp;LEFT(IF(E58="","description, ","")&amp;IF(AND(O58="",COUNTIFS(Variants!$A$3:$A$1502,A58,Variants!$K$3:$K$1502,"&lt;&gt;")=0),"price, ","")&amp;IF(T58="","image, ","")&amp;IF(B58="","category, ","")&amp;IF(N(AB58)=0,"variant, ","")&amp;IF(AND(P58="Percentage",N(Q58)&gt;100),"discount over 100%, ","")&amp;IF(AND(P58="Fixed amount",O58&lt;&gt;"",N(Q58)&gt;N(O58)),"discount over price, ",""),LEN(IF(E58="","description, ","")&amp;IF(AND(O58="",COUNTIFS(Variants!$A$3:$A$1502,A58,Variants!$K$3:$K$1502,"&lt;&gt;")=0),"price, ","")&amp;IF(T58="","image, ","")&amp;IF(B58="","category, ","")&amp;IF(N(AB58)=0,"variant, ","")&amp;IF(AND(P58="Percentage",N(Q58)&gt;100),"discount over 100%, ","")&amp;IF(AND(P58="Fixed amount",O58&lt;&gt;"",N(Q58)&gt;N(O58)),"discount over price, ",""))-2)))</f>
        <v/>
      </c>
    </row>
    <row r="59" spans="1:29" x14ac:dyDescent="0.3">
      <c r="A59" s="16"/>
      <c r="B59" s="16"/>
      <c r="C59" s="16"/>
      <c r="D59" s="17"/>
      <c r="E59" s="17"/>
      <c r="F59" s="16"/>
      <c r="G59" s="16"/>
      <c r="H59" s="16"/>
      <c r="I59" s="16"/>
      <c r="J59" s="16"/>
      <c r="K59" s="16"/>
      <c r="L59" s="17"/>
      <c r="M59" s="17"/>
      <c r="N59" s="17"/>
      <c r="O59" s="18"/>
      <c r="P59" s="16"/>
      <c r="Q59" s="16"/>
      <c r="R59" s="19" t="str">
        <f t="shared" si="0"/>
        <v/>
      </c>
      <c r="S59" s="19" t="str">
        <f t="shared" si="1"/>
        <v/>
      </c>
      <c r="T59" s="17"/>
      <c r="U59" s="16"/>
      <c r="V59" s="16"/>
      <c r="W59" s="16"/>
      <c r="X59" s="16"/>
      <c r="Y59" s="16"/>
      <c r="Z59" s="16"/>
      <c r="AA59" s="16"/>
      <c r="AB59" s="20" t="str">
        <f>IF(A59="","",COUNTIF(Variants!$A$3:$A$1502,A59))</f>
        <v/>
      </c>
      <c r="AC59" s="21" t="str">
        <f>IF(A59="","",IF(IF(E59="","description, ","")&amp;IF(AND(O59="",COUNTIFS(Variants!$A$3:$A$1502,A59,Variants!$K$3:$K$1502,"&lt;&gt;")=0),"price, ","")&amp;IF(T59="","image, ","")&amp;IF(B59="","category, ","")&amp;IF(N(AB59)=0,"variant, ","")&amp;IF(AND(P59="Percentage",N(Q59)&gt;100),"discount over 100%, ","")&amp;IF(AND(P59="Fixed amount",O59&lt;&gt;"",N(Q59)&gt;N(O59)),"discount over price, ","")="","Ready","Missing: "&amp;LEFT(IF(E59="","description, ","")&amp;IF(AND(O59="",COUNTIFS(Variants!$A$3:$A$1502,A59,Variants!$K$3:$K$1502,"&lt;&gt;")=0),"price, ","")&amp;IF(T59="","image, ","")&amp;IF(B59="","category, ","")&amp;IF(N(AB59)=0,"variant, ","")&amp;IF(AND(P59="Percentage",N(Q59)&gt;100),"discount over 100%, ","")&amp;IF(AND(P59="Fixed amount",O59&lt;&gt;"",N(Q59)&gt;N(O59)),"discount over price, ",""),LEN(IF(E59="","description, ","")&amp;IF(AND(O59="",COUNTIFS(Variants!$A$3:$A$1502,A59,Variants!$K$3:$K$1502,"&lt;&gt;")=0),"price, ","")&amp;IF(T59="","image, ","")&amp;IF(B59="","category, ","")&amp;IF(N(AB59)=0,"variant, ","")&amp;IF(AND(P59="Percentage",N(Q59)&gt;100),"discount over 100%, ","")&amp;IF(AND(P59="Fixed amount",O59&lt;&gt;"",N(Q59)&gt;N(O59)),"discount over price, ",""))-2)))</f>
        <v/>
      </c>
    </row>
    <row r="60" spans="1:29" x14ac:dyDescent="0.3">
      <c r="A60" s="16"/>
      <c r="B60" s="16"/>
      <c r="C60" s="16"/>
      <c r="D60" s="17"/>
      <c r="E60" s="17"/>
      <c r="F60" s="16"/>
      <c r="G60" s="16"/>
      <c r="H60" s="16"/>
      <c r="I60" s="16"/>
      <c r="J60" s="16"/>
      <c r="K60" s="16"/>
      <c r="L60" s="17"/>
      <c r="M60" s="17"/>
      <c r="N60" s="17"/>
      <c r="O60" s="18"/>
      <c r="P60" s="16"/>
      <c r="Q60" s="16"/>
      <c r="R60" s="19" t="str">
        <f t="shared" si="0"/>
        <v/>
      </c>
      <c r="S60" s="19" t="str">
        <f t="shared" si="1"/>
        <v/>
      </c>
      <c r="T60" s="17"/>
      <c r="U60" s="16"/>
      <c r="V60" s="16"/>
      <c r="W60" s="16"/>
      <c r="X60" s="16"/>
      <c r="Y60" s="16"/>
      <c r="Z60" s="16"/>
      <c r="AA60" s="16"/>
      <c r="AB60" s="20" t="str">
        <f>IF(A60="","",COUNTIF(Variants!$A$3:$A$1502,A60))</f>
        <v/>
      </c>
      <c r="AC60" s="21" t="str">
        <f>IF(A60="","",IF(IF(E60="","description, ","")&amp;IF(AND(O60="",COUNTIFS(Variants!$A$3:$A$1502,A60,Variants!$K$3:$K$1502,"&lt;&gt;")=0),"price, ","")&amp;IF(T60="","image, ","")&amp;IF(B60="","category, ","")&amp;IF(N(AB60)=0,"variant, ","")&amp;IF(AND(P60="Percentage",N(Q60)&gt;100),"discount over 100%, ","")&amp;IF(AND(P60="Fixed amount",O60&lt;&gt;"",N(Q60)&gt;N(O60)),"discount over price, ","")="","Ready","Missing: "&amp;LEFT(IF(E60="","description, ","")&amp;IF(AND(O60="",COUNTIFS(Variants!$A$3:$A$1502,A60,Variants!$K$3:$K$1502,"&lt;&gt;")=0),"price, ","")&amp;IF(T60="","image, ","")&amp;IF(B60="","category, ","")&amp;IF(N(AB60)=0,"variant, ","")&amp;IF(AND(P60="Percentage",N(Q60)&gt;100),"discount over 100%, ","")&amp;IF(AND(P60="Fixed amount",O60&lt;&gt;"",N(Q60)&gt;N(O60)),"discount over price, ",""),LEN(IF(E60="","description, ","")&amp;IF(AND(O60="",COUNTIFS(Variants!$A$3:$A$1502,A60,Variants!$K$3:$K$1502,"&lt;&gt;")=0),"price, ","")&amp;IF(T60="","image, ","")&amp;IF(B60="","category, ","")&amp;IF(N(AB60)=0,"variant, ","")&amp;IF(AND(P60="Percentage",N(Q60)&gt;100),"discount over 100%, ","")&amp;IF(AND(P60="Fixed amount",O60&lt;&gt;"",N(Q60)&gt;N(O60)),"discount over price, ",""))-2)))</f>
        <v/>
      </c>
    </row>
    <row r="61" spans="1:29" x14ac:dyDescent="0.3">
      <c r="A61" s="16"/>
      <c r="B61" s="16"/>
      <c r="C61" s="16"/>
      <c r="D61" s="17"/>
      <c r="E61" s="17"/>
      <c r="F61" s="16"/>
      <c r="G61" s="16"/>
      <c r="H61" s="16"/>
      <c r="I61" s="16"/>
      <c r="J61" s="16"/>
      <c r="K61" s="16"/>
      <c r="L61" s="17"/>
      <c r="M61" s="17"/>
      <c r="N61" s="17"/>
      <c r="O61" s="18"/>
      <c r="P61" s="16"/>
      <c r="Q61" s="16"/>
      <c r="R61" s="19" t="str">
        <f t="shared" si="0"/>
        <v/>
      </c>
      <c r="S61" s="19" t="str">
        <f t="shared" si="1"/>
        <v/>
      </c>
      <c r="T61" s="17"/>
      <c r="U61" s="16"/>
      <c r="V61" s="16"/>
      <c r="W61" s="16"/>
      <c r="X61" s="16"/>
      <c r="Y61" s="16"/>
      <c r="Z61" s="16"/>
      <c r="AA61" s="16"/>
      <c r="AB61" s="20" t="str">
        <f>IF(A61="","",COUNTIF(Variants!$A$3:$A$1502,A61))</f>
        <v/>
      </c>
      <c r="AC61" s="21" t="str">
        <f>IF(A61="","",IF(IF(E61="","description, ","")&amp;IF(AND(O61="",COUNTIFS(Variants!$A$3:$A$1502,A61,Variants!$K$3:$K$1502,"&lt;&gt;")=0),"price, ","")&amp;IF(T61="","image, ","")&amp;IF(B61="","category, ","")&amp;IF(N(AB61)=0,"variant, ","")&amp;IF(AND(P61="Percentage",N(Q61)&gt;100),"discount over 100%, ","")&amp;IF(AND(P61="Fixed amount",O61&lt;&gt;"",N(Q61)&gt;N(O61)),"discount over price, ","")="","Ready","Missing: "&amp;LEFT(IF(E61="","description, ","")&amp;IF(AND(O61="",COUNTIFS(Variants!$A$3:$A$1502,A61,Variants!$K$3:$K$1502,"&lt;&gt;")=0),"price, ","")&amp;IF(T61="","image, ","")&amp;IF(B61="","category, ","")&amp;IF(N(AB61)=0,"variant, ","")&amp;IF(AND(P61="Percentage",N(Q61)&gt;100),"discount over 100%, ","")&amp;IF(AND(P61="Fixed amount",O61&lt;&gt;"",N(Q61)&gt;N(O61)),"discount over price, ",""),LEN(IF(E61="","description, ","")&amp;IF(AND(O61="",COUNTIFS(Variants!$A$3:$A$1502,A61,Variants!$K$3:$K$1502,"&lt;&gt;")=0),"price, ","")&amp;IF(T61="","image, ","")&amp;IF(B61="","category, ","")&amp;IF(N(AB61)=0,"variant, ","")&amp;IF(AND(P61="Percentage",N(Q61)&gt;100),"discount over 100%, ","")&amp;IF(AND(P61="Fixed amount",O61&lt;&gt;"",N(Q61)&gt;N(O61)),"discount over price, ",""))-2)))</f>
        <v/>
      </c>
    </row>
    <row r="62" spans="1:29" x14ac:dyDescent="0.3">
      <c r="A62" s="16"/>
      <c r="B62" s="16"/>
      <c r="C62" s="16"/>
      <c r="D62" s="17"/>
      <c r="E62" s="17"/>
      <c r="F62" s="16"/>
      <c r="G62" s="16"/>
      <c r="H62" s="16"/>
      <c r="I62" s="16"/>
      <c r="J62" s="16"/>
      <c r="K62" s="16"/>
      <c r="L62" s="17"/>
      <c r="M62" s="17"/>
      <c r="N62" s="17"/>
      <c r="O62" s="18"/>
      <c r="P62" s="16"/>
      <c r="Q62" s="16"/>
      <c r="R62" s="19" t="str">
        <f t="shared" si="0"/>
        <v/>
      </c>
      <c r="S62" s="19" t="str">
        <f t="shared" si="1"/>
        <v/>
      </c>
      <c r="T62" s="17"/>
      <c r="U62" s="16"/>
      <c r="V62" s="16"/>
      <c r="W62" s="16"/>
      <c r="X62" s="16"/>
      <c r="Y62" s="16"/>
      <c r="Z62" s="16"/>
      <c r="AA62" s="16"/>
      <c r="AB62" s="20" t="str">
        <f>IF(A62="","",COUNTIF(Variants!$A$3:$A$1502,A62))</f>
        <v/>
      </c>
      <c r="AC62" s="21" t="str">
        <f>IF(A62="","",IF(IF(E62="","description, ","")&amp;IF(AND(O62="",COUNTIFS(Variants!$A$3:$A$1502,A62,Variants!$K$3:$K$1502,"&lt;&gt;")=0),"price, ","")&amp;IF(T62="","image, ","")&amp;IF(B62="","category, ","")&amp;IF(N(AB62)=0,"variant, ","")&amp;IF(AND(P62="Percentage",N(Q62)&gt;100),"discount over 100%, ","")&amp;IF(AND(P62="Fixed amount",O62&lt;&gt;"",N(Q62)&gt;N(O62)),"discount over price, ","")="","Ready","Missing: "&amp;LEFT(IF(E62="","description, ","")&amp;IF(AND(O62="",COUNTIFS(Variants!$A$3:$A$1502,A62,Variants!$K$3:$K$1502,"&lt;&gt;")=0),"price, ","")&amp;IF(T62="","image, ","")&amp;IF(B62="","category, ","")&amp;IF(N(AB62)=0,"variant, ","")&amp;IF(AND(P62="Percentage",N(Q62)&gt;100),"discount over 100%, ","")&amp;IF(AND(P62="Fixed amount",O62&lt;&gt;"",N(Q62)&gt;N(O62)),"discount over price, ",""),LEN(IF(E62="","description, ","")&amp;IF(AND(O62="",COUNTIFS(Variants!$A$3:$A$1502,A62,Variants!$K$3:$K$1502,"&lt;&gt;")=0),"price, ","")&amp;IF(T62="","image, ","")&amp;IF(B62="","category, ","")&amp;IF(N(AB62)=0,"variant, ","")&amp;IF(AND(P62="Percentage",N(Q62)&gt;100),"discount over 100%, ","")&amp;IF(AND(P62="Fixed amount",O62&lt;&gt;"",N(Q62)&gt;N(O62)),"discount over price, ",""))-2)))</f>
        <v/>
      </c>
    </row>
    <row r="63" spans="1:29" x14ac:dyDescent="0.3">
      <c r="A63" s="16"/>
      <c r="B63" s="16"/>
      <c r="C63" s="16"/>
      <c r="D63" s="17"/>
      <c r="E63" s="17"/>
      <c r="F63" s="16"/>
      <c r="G63" s="16"/>
      <c r="H63" s="16"/>
      <c r="I63" s="16"/>
      <c r="J63" s="16"/>
      <c r="K63" s="16"/>
      <c r="L63" s="17"/>
      <c r="M63" s="17"/>
      <c r="N63" s="17"/>
      <c r="O63" s="18"/>
      <c r="P63" s="16"/>
      <c r="Q63" s="16"/>
      <c r="R63" s="19" t="str">
        <f t="shared" si="0"/>
        <v/>
      </c>
      <c r="S63" s="19" t="str">
        <f t="shared" si="1"/>
        <v/>
      </c>
      <c r="T63" s="17"/>
      <c r="U63" s="16"/>
      <c r="V63" s="16"/>
      <c r="W63" s="16"/>
      <c r="X63" s="16"/>
      <c r="Y63" s="16"/>
      <c r="Z63" s="16"/>
      <c r="AA63" s="16"/>
      <c r="AB63" s="20" t="str">
        <f>IF(A63="","",COUNTIF(Variants!$A$3:$A$1502,A63))</f>
        <v/>
      </c>
      <c r="AC63" s="21" t="str">
        <f>IF(A63="","",IF(IF(E63="","description, ","")&amp;IF(AND(O63="",COUNTIFS(Variants!$A$3:$A$1502,A63,Variants!$K$3:$K$1502,"&lt;&gt;")=0),"price, ","")&amp;IF(T63="","image, ","")&amp;IF(B63="","category, ","")&amp;IF(N(AB63)=0,"variant, ","")&amp;IF(AND(P63="Percentage",N(Q63)&gt;100),"discount over 100%, ","")&amp;IF(AND(P63="Fixed amount",O63&lt;&gt;"",N(Q63)&gt;N(O63)),"discount over price, ","")="","Ready","Missing: "&amp;LEFT(IF(E63="","description, ","")&amp;IF(AND(O63="",COUNTIFS(Variants!$A$3:$A$1502,A63,Variants!$K$3:$K$1502,"&lt;&gt;")=0),"price, ","")&amp;IF(T63="","image, ","")&amp;IF(B63="","category, ","")&amp;IF(N(AB63)=0,"variant, ","")&amp;IF(AND(P63="Percentage",N(Q63)&gt;100),"discount over 100%, ","")&amp;IF(AND(P63="Fixed amount",O63&lt;&gt;"",N(Q63)&gt;N(O63)),"discount over price, ",""),LEN(IF(E63="","description, ","")&amp;IF(AND(O63="",COUNTIFS(Variants!$A$3:$A$1502,A63,Variants!$K$3:$K$1502,"&lt;&gt;")=0),"price, ","")&amp;IF(T63="","image, ","")&amp;IF(B63="","category, ","")&amp;IF(N(AB63)=0,"variant, ","")&amp;IF(AND(P63="Percentage",N(Q63)&gt;100),"discount over 100%, ","")&amp;IF(AND(P63="Fixed amount",O63&lt;&gt;"",N(Q63)&gt;N(O63)),"discount over price, ",""))-2)))</f>
        <v/>
      </c>
    </row>
    <row r="64" spans="1:29" x14ac:dyDescent="0.3">
      <c r="A64" s="16"/>
      <c r="B64" s="16"/>
      <c r="C64" s="16"/>
      <c r="D64" s="17"/>
      <c r="E64" s="17"/>
      <c r="F64" s="16"/>
      <c r="G64" s="16"/>
      <c r="H64" s="16"/>
      <c r="I64" s="16"/>
      <c r="J64" s="16"/>
      <c r="K64" s="16"/>
      <c r="L64" s="17"/>
      <c r="M64" s="17"/>
      <c r="N64" s="17"/>
      <c r="O64" s="18"/>
      <c r="P64" s="16"/>
      <c r="Q64" s="16"/>
      <c r="R64" s="19" t="str">
        <f t="shared" si="0"/>
        <v/>
      </c>
      <c r="S64" s="19" t="str">
        <f t="shared" si="1"/>
        <v/>
      </c>
      <c r="T64" s="17"/>
      <c r="U64" s="16"/>
      <c r="V64" s="16"/>
      <c r="W64" s="16"/>
      <c r="X64" s="16"/>
      <c r="Y64" s="16"/>
      <c r="Z64" s="16"/>
      <c r="AA64" s="16"/>
      <c r="AB64" s="20" t="str">
        <f>IF(A64="","",COUNTIF(Variants!$A$3:$A$1502,A64))</f>
        <v/>
      </c>
      <c r="AC64" s="21" t="str">
        <f>IF(A64="","",IF(IF(E64="","description, ","")&amp;IF(AND(O64="",COUNTIFS(Variants!$A$3:$A$1502,A64,Variants!$K$3:$K$1502,"&lt;&gt;")=0),"price, ","")&amp;IF(T64="","image, ","")&amp;IF(B64="","category, ","")&amp;IF(N(AB64)=0,"variant, ","")&amp;IF(AND(P64="Percentage",N(Q64)&gt;100),"discount over 100%, ","")&amp;IF(AND(P64="Fixed amount",O64&lt;&gt;"",N(Q64)&gt;N(O64)),"discount over price, ","")="","Ready","Missing: "&amp;LEFT(IF(E64="","description, ","")&amp;IF(AND(O64="",COUNTIFS(Variants!$A$3:$A$1502,A64,Variants!$K$3:$K$1502,"&lt;&gt;")=0),"price, ","")&amp;IF(T64="","image, ","")&amp;IF(B64="","category, ","")&amp;IF(N(AB64)=0,"variant, ","")&amp;IF(AND(P64="Percentage",N(Q64)&gt;100),"discount over 100%, ","")&amp;IF(AND(P64="Fixed amount",O64&lt;&gt;"",N(Q64)&gt;N(O64)),"discount over price, ",""),LEN(IF(E64="","description, ","")&amp;IF(AND(O64="",COUNTIFS(Variants!$A$3:$A$1502,A64,Variants!$K$3:$K$1502,"&lt;&gt;")=0),"price, ","")&amp;IF(T64="","image, ","")&amp;IF(B64="","category, ","")&amp;IF(N(AB64)=0,"variant, ","")&amp;IF(AND(P64="Percentage",N(Q64)&gt;100),"discount over 100%, ","")&amp;IF(AND(P64="Fixed amount",O64&lt;&gt;"",N(Q64)&gt;N(O64)),"discount over price, ",""))-2)))</f>
        <v/>
      </c>
    </row>
    <row r="65" spans="1:29" x14ac:dyDescent="0.3">
      <c r="A65" s="16"/>
      <c r="B65" s="16"/>
      <c r="C65" s="16"/>
      <c r="D65" s="17"/>
      <c r="E65" s="17"/>
      <c r="F65" s="16"/>
      <c r="G65" s="16"/>
      <c r="H65" s="16"/>
      <c r="I65" s="16"/>
      <c r="J65" s="16"/>
      <c r="K65" s="16"/>
      <c r="L65" s="17"/>
      <c r="M65" s="17"/>
      <c r="N65" s="17"/>
      <c r="O65" s="18"/>
      <c r="P65" s="16"/>
      <c r="Q65" s="16"/>
      <c r="R65" s="19" t="str">
        <f t="shared" si="0"/>
        <v/>
      </c>
      <c r="S65" s="19" t="str">
        <f t="shared" si="1"/>
        <v/>
      </c>
      <c r="T65" s="17"/>
      <c r="U65" s="16"/>
      <c r="V65" s="16"/>
      <c r="W65" s="16"/>
      <c r="X65" s="16"/>
      <c r="Y65" s="16"/>
      <c r="Z65" s="16"/>
      <c r="AA65" s="16"/>
      <c r="AB65" s="20" t="str">
        <f>IF(A65="","",COUNTIF(Variants!$A$3:$A$1502,A65))</f>
        <v/>
      </c>
      <c r="AC65" s="21" t="str">
        <f>IF(A65="","",IF(IF(E65="","description, ","")&amp;IF(AND(O65="",COUNTIFS(Variants!$A$3:$A$1502,A65,Variants!$K$3:$K$1502,"&lt;&gt;")=0),"price, ","")&amp;IF(T65="","image, ","")&amp;IF(B65="","category, ","")&amp;IF(N(AB65)=0,"variant, ","")&amp;IF(AND(P65="Percentage",N(Q65)&gt;100),"discount over 100%, ","")&amp;IF(AND(P65="Fixed amount",O65&lt;&gt;"",N(Q65)&gt;N(O65)),"discount over price, ","")="","Ready","Missing: "&amp;LEFT(IF(E65="","description, ","")&amp;IF(AND(O65="",COUNTIFS(Variants!$A$3:$A$1502,A65,Variants!$K$3:$K$1502,"&lt;&gt;")=0),"price, ","")&amp;IF(T65="","image, ","")&amp;IF(B65="","category, ","")&amp;IF(N(AB65)=0,"variant, ","")&amp;IF(AND(P65="Percentage",N(Q65)&gt;100),"discount over 100%, ","")&amp;IF(AND(P65="Fixed amount",O65&lt;&gt;"",N(Q65)&gt;N(O65)),"discount over price, ",""),LEN(IF(E65="","description, ","")&amp;IF(AND(O65="",COUNTIFS(Variants!$A$3:$A$1502,A65,Variants!$K$3:$K$1502,"&lt;&gt;")=0),"price, ","")&amp;IF(T65="","image, ","")&amp;IF(B65="","category, ","")&amp;IF(N(AB65)=0,"variant, ","")&amp;IF(AND(P65="Percentage",N(Q65)&gt;100),"discount over 100%, ","")&amp;IF(AND(P65="Fixed amount",O65&lt;&gt;"",N(Q65)&gt;N(O65)),"discount over price, ",""))-2)))</f>
        <v/>
      </c>
    </row>
    <row r="66" spans="1:29" x14ac:dyDescent="0.3">
      <c r="A66" s="16"/>
      <c r="B66" s="16"/>
      <c r="C66" s="16"/>
      <c r="D66" s="17"/>
      <c r="E66" s="17"/>
      <c r="F66" s="16"/>
      <c r="G66" s="16"/>
      <c r="H66" s="16"/>
      <c r="I66" s="16"/>
      <c r="J66" s="16"/>
      <c r="K66" s="16"/>
      <c r="L66" s="17"/>
      <c r="M66" s="17"/>
      <c r="N66" s="17"/>
      <c r="O66" s="18"/>
      <c r="P66" s="16"/>
      <c r="Q66" s="16"/>
      <c r="R66" s="19" t="str">
        <f t="shared" si="0"/>
        <v/>
      </c>
      <c r="S66" s="19" t="str">
        <f t="shared" si="1"/>
        <v/>
      </c>
      <c r="T66" s="17"/>
      <c r="U66" s="16"/>
      <c r="V66" s="16"/>
      <c r="W66" s="16"/>
      <c r="X66" s="16"/>
      <c r="Y66" s="16"/>
      <c r="Z66" s="16"/>
      <c r="AA66" s="16"/>
      <c r="AB66" s="20" t="str">
        <f>IF(A66="","",COUNTIF(Variants!$A$3:$A$1502,A66))</f>
        <v/>
      </c>
      <c r="AC66" s="21" t="str">
        <f>IF(A66="","",IF(IF(E66="","description, ","")&amp;IF(AND(O66="",COUNTIFS(Variants!$A$3:$A$1502,A66,Variants!$K$3:$K$1502,"&lt;&gt;")=0),"price, ","")&amp;IF(T66="","image, ","")&amp;IF(B66="","category, ","")&amp;IF(N(AB66)=0,"variant, ","")&amp;IF(AND(P66="Percentage",N(Q66)&gt;100),"discount over 100%, ","")&amp;IF(AND(P66="Fixed amount",O66&lt;&gt;"",N(Q66)&gt;N(O66)),"discount over price, ","")="","Ready","Missing: "&amp;LEFT(IF(E66="","description, ","")&amp;IF(AND(O66="",COUNTIFS(Variants!$A$3:$A$1502,A66,Variants!$K$3:$K$1502,"&lt;&gt;")=0),"price, ","")&amp;IF(T66="","image, ","")&amp;IF(B66="","category, ","")&amp;IF(N(AB66)=0,"variant, ","")&amp;IF(AND(P66="Percentage",N(Q66)&gt;100),"discount over 100%, ","")&amp;IF(AND(P66="Fixed amount",O66&lt;&gt;"",N(Q66)&gt;N(O66)),"discount over price, ",""),LEN(IF(E66="","description, ","")&amp;IF(AND(O66="",COUNTIFS(Variants!$A$3:$A$1502,A66,Variants!$K$3:$K$1502,"&lt;&gt;")=0),"price, ","")&amp;IF(T66="","image, ","")&amp;IF(B66="","category, ","")&amp;IF(N(AB66)=0,"variant, ","")&amp;IF(AND(P66="Percentage",N(Q66)&gt;100),"discount over 100%, ","")&amp;IF(AND(P66="Fixed amount",O66&lt;&gt;"",N(Q66)&gt;N(O66)),"discount over price, ",""))-2)))</f>
        <v/>
      </c>
    </row>
    <row r="67" spans="1:29" x14ac:dyDescent="0.3">
      <c r="A67" s="16"/>
      <c r="B67" s="16"/>
      <c r="C67" s="16"/>
      <c r="D67" s="17"/>
      <c r="E67" s="17"/>
      <c r="F67" s="16"/>
      <c r="G67" s="16"/>
      <c r="H67" s="16"/>
      <c r="I67" s="16"/>
      <c r="J67" s="16"/>
      <c r="K67" s="16"/>
      <c r="L67" s="17"/>
      <c r="M67" s="17"/>
      <c r="N67" s="17"/>
      <c r="O67" s="18"/>
      <c r="P67" s="16"/>
      <c r="Q67" s="16"/>
      <c r="R67" s="19" t="str">
        <f t="shared" ref="R67:R130" si="2">IF(O67="","",IF(P67="Percentage",ROUND(O67*N(Q67)/100,2),IF(P67="Fixed amount",N(Q67),0)))</f>
        <v/>
      </c>
      <c r="S67" s="19" t="str">
        <f t="shared" ref="S67:S130" si="3">IF(O67="","",O67-R67)</f>
        <v/>
      </c>
      <c r="T67" s="17"/>
      <c r="U67" s="16"/>
      <c r="V67" s="16"/>
      <c r="W67" s="16"/>
      <c r="X67" s="16"/>
      <c r="Y67" s="16"/>
      <c r="Z67" s="16"/>
      <c r="AA67" s="16"/>
      <c r="AB67" s="20" t="str">
        <f>IF(A67="","",COUNTIF(Variants!$A$3:$A$1502,A67))</f>
        <v/>
      </c>
      <c r="AC67" s="21" t="str">
        <f>IF(A67="","",IF(IF(E67="","description, ","")&amp;IF(AND(O67="",COUNTIFS(Variants!$A$3:$A$1502,A67,Variants!$K$3:$K$1502,"&lt;&gt;")=0),"price, ","")&amp;IF(T67="","image, ","")&amp;IF(B67="","category, ","")&amp;IF(N(AB67)=0,"variant, ","")&amp;IF(AND(P67="Percentage",N(Q67)&gt;100),"discount over 100%, ","")&amp;IF(AND(P67="Fixed amount",O67&lt;&gt;"",N(Q67)&gt;N(O67)),"discount over price, ","")="","Ready","Missing: "&amp;LEFT(IF(E67="","description, ","")&amp;IF(AND(O67="",COUNTIFS(Variants!$A$3:$A$1502,A67,Variants!$K$3:$K$1502,"&lt;&gt;")=0),"price, ","")&amp;IF(T67="","image, ","")&amp;IF(B67="","category, ","")&amp;IF(N(AB67)=0,"variant, ","")&amp;IF(AND(P67="Percentage",N(Q67)&gt;100),"discount over 100%, ","")&amp;IF(AND(P67="Fixed amount",O67&lt;&gt;"",N(Q67)&gt;N(O67)),"discount over price, ",""),LEN(IF(E67="","description, ","")&amp;IF(AND(O67="",COUNTIFS(Variants!$A$3:$A$1502,A67,Variants!$K$3:$K$1502,"&lt;&gt;")=0),"price, ","")&amp;IF(T67="","image, ","")&amp;IF(B67="","category, ","")&amp;IF(N(AB67)=0,"variant, ","")&amp;IF(AND(P67="Percentage",N(Q67)&gt;100),"discount over 100%, ","")&amp;IF(AND(P67="Fixed amount",O67&lt;&gt;"",N(Q67)&gt;N(O67)),"discount over price, ",""))-2)))</f>
        <v/>
      </c>
    </row>
    <row r="68" spans="1:29" x14ac:dyDescent="0.3">
      <c r="A68" s="16"/>
      <c r="B68" s="16"/>
      <c r="C68" s="16"/>
      <c r="D68" s="17"/>
      <c r="E68" s="17"/>
      <c r="F68" s="16"/>
      <c r="G68" s="16"/>
      <c r="H68" s="16"/>
      <c r="I68" s="16"/>
      <c r="J68" s="16"/>
      <c r="K68" s="16"/>
      <c r="L68" s="17"/>
      <c r="M68" s="17"/>
      <c r="N68" s="17"/>
      <c r="O68" s="18"/>
      <c r="P68" s="16"/>
      <c r="Q68" s="16"/>
      <c r="R68" s="19" t="str">
        <f t="shared" si="2"/>
        <v/>
      </c>
      <c r="S68" s="19" t="str">
        <f t="shared" si="3"/>
        <v/>
      </c>
      <c r="T68" s="17"/>
      <c r="U68" s="16"/>
      <c r="V68" s="16"/>
      <c r="W68" s="16"/>
      <c r="X68" s="16"/>
      <c r="Y68" s="16"/>
      <c r="Z68" s="16"/>
      <c r="AA68" s="16"/>
      <c r="AB68" s="20" t="str">
        <f>IF(A68="","",COUNTIF(Variants!$A$3:$A$1502,A68))</f>
        <v/>
      </c>
      <c r="AC68" s="21" t="str">
        <f>IF(A68="","",IF(IF(E68="","description, ","")&amp;IF(AND(O68="",COUNTIFS(Variants!$A$3:$A$1502,A68,Variants!$K$3:$K$1502,"&lt;&gt;")=0),"price, ","")&amp;IF(T68="","image, ","")&amp;IF(B68="","category, ","")&amp;IF(N(AB68)=0,"variant, ","")&amp;IF(AND(P68="Percentage",N(Q68)&gt;100),"discount over 100%, ","")&amp;IF(AND(P68="Fixed amount",O68&lt;&gt;"",N(Q68)&gt;N(O68)),"discount over price, ","")="","Ready","Missing: "&amp;LEFT(IF(E68="","description, ","")&amp;IF(AND(O68="",COUNTIFS(Variants!$A$3:$A$1502,A68,Variants!$K$3:$K$1502,"&lt;&gt;")=0),"price, ","")&amp;IF(T68="","image, ","")&amp;IF(B68="","category, ","")&amp;IF(N(AB68)=0,"variant, ","")&amp;IF(AND(P68="Percentage",N(Q68)&gt;100),"discount over 100%, ","")&amp;IF(AND(P68="Fixed amount",O68&lt;&gt;"",N(Q68)&gt;N(O68)),"discount over price, ",""),LEN(IF(E68="","description, ","")&amp;IF(AND(O68="",COUNTIFS(Variants!$A$3:$A$1502,A68,Variants!$K$3:$K$1502,"&lt;&gt;")=0),"price, ","")&amp;IF(T68="","image, ","")&amp;IF(B68="","category, ","")&amp;IF(N(AB68)=0,"variant, ","")&amp;IF(AND(P68="Percentage",N(Q68)&gt;100),"discount over 100%, ","")&amp;IF(AND(P68="Fixed amount",O68&lt;&gt;"",N(Q68)&gt;N(O68)),"discount over price, ",""))-2)))</f>
        <v/>
      </c>
    </row>
    <row r="69" spans="1:29" x14ac:dyDescent="0.3">
      <c r="A69" s="16"/>
      <c r="B69" s="16"/>
      <c r="C69" s="16"/>
      <c r="D69" s="17"/>
      <c r="E69" s="17"/>
      <c r="F69" s="16"/>
      <c r="G69" s="16"/>
      <c r="H69" s="16"/>
      <c r="I69" s="16"/>
      <c r="J69" s="16"/>
      <c r="K69" s="16"/>
      <c r="L69" s="17"/>
      <c r="M69" s="17"/>
      <c r="N69" s="17"/>
      <c r="O69" s="18"/>
      <c r="P69" s="16"/>
      <c r="Q69" s="16"/>
      <c r="R69" s="19" t="str">
        <f t="shared" si="2"/>
        <v/>
      </c>
      <c r="S69" s="19" t="str">
        <f t="shared" si="3"/>
        <v/>
      </c>
      <c r="T69" s="17"/>
      <c r="U69" s="16"/>
      <c r="V69" s="16"/>
      <c r="W69" s="16"/>
      <c r="X69" s="16"/>
      <c r="Y69" s="16"/>
      <c r="Z69" s="16"/>
      <c r="AA69" s="16"/>
      <c r="AB69" s="20" t="str">
        <f>IF(A69="","",COUNTIF(Variants!$A$3:$A$1502,A69))</f>
        <v/>
      </c>
      <c r="AC69" s="21" t="str">
        <f>IF(A69="","",IF(IF(E69="","description, ","")&amp;IF(AND(O69="",COUNTIFS(Variants!$A$3:$A$1502,A69,Variants!$K$3:$K$1502,"&lt;&gt;")=0),"price, ","")&amp;IF(T69="","image, ","")&amp;IF(B69="","category, ","")&amp;IF(N(AB69)=0,"variant, ","")&amp;IF(AND(P69="Percentage",N(Q69)&gt;100),"discount over 100%, ","")&amp;IF(AND(P69="Fixed amount",O69&lt;&gt;"",N(Q69)&gt;N(O69)),"discount over price, ","")="","Ready","Missing: "&amp;LEFT(IF(E69="","description, ","")&amp;IF(AND(O69="",COUNTIFS(Variants!$A$3:$A$1502,A69,Variants!$K$3:$K$1502,"&lt;&gt;")=0),"price, ","")&amp;IF(T69="","image, ","")&amp;IF(B69="","category, ","")&amp;IF(N(AB69)=0,"variant, ","")&amp;IF(AND(P69="Percentage",N(Q69)&gt;100),"discount over 100%, ","")&amp;IF(AND(P69="Fixed amount",O69&lt;&gt;"",N(Q69)&gt;N(O69)),"discount over price, ",""),LEN(IF(E69="","description, ","")&amp;IF(AND(O69="",COUNTIFS(Variants!$A$3:$A$1502,A69,Variants!$K$3:$K$1502,"&lt;&gt;")=0),"price, ","")&amp;IF(T69="","image, ","")&amp;IF(B69="","category, ","")&amp;IF(N(AB69)=0,"variant, ","")&amp;IF(AND(P69="Percentage",N(Q69)&gt;100),"discount over 100%, ","")&amp;IF(AND(P69="Fixed amount",O69&lt;&gt;"",N(Q69)&gt;N(O69)),"discount over price, ",""))-2)))</f>
        <v/>
      </c>
    </row>
    <row r="70" spans="1:29" x14ac:dyDescent="0.3">
      <c r="A70" s="16"/>
      <c r="B70" s="16"/>
      <c r="C70" s="16"/>
      <c r="D70" s="17"/>
      <c r="E70" s="17"/>
      <c r="F70" s="16"/>
      <c r="G70" s="16"/>
      <c r="H70" s="16"/>
      <c r="I70" s="16"/>
      <c r="J70" s="16"/>
      <c r="K70" s="16"/>
      <c r="L70" s="17"/>
      <c r="M70" s="17"/>
      <c r="N70" s="17"/>
      <c r="O70" s="18"/>
      <c r="P70" s="16"/>
      <c r="Q70" s="16"/>
      <c r="R70" s="19" t="str">
        <f t="shared" si="2"/>
        <v/>
      </c>
      <c r="S70" s="19" t="str">
        <f t="shared" si="3"/>
        <v/>
      </c>
      <c r="T70" s="17"/>
      <c r="U70" s="16"/>
      <c r="V70" s="16"/>
      <c r="W70" s="16"/>
      <c r="X70" s="16"/>
      <c r="Y70" s="16"/>
      <c r="Z70" s="16"/>
      <c r="AA70" s="16"/>
      <c r="AB70" s="20" t="str">
        <f>IF(A70="","",COUNTIF(Variants!$A$3:$A$1502,A70))</f>
        <v/>
      </c>
      <c r="AC70" s="21" t="str">
        <f>IF(A70="","",IF(IF(E70="","description, ","")&amp;IF(AND(O70="",COUNTIFS(Variants!$A$3:$A$1502,A70,Variants!$K$3:$K$1502,"&lt;&gt;")=0),"price, ","")&amp;IF(T70="","image, ","")&amp;IF(B70="","category, ","")&amp;IF(N(AB70)=0,"variant, ","")&amp;IF(AND(P70="Percentage",N(Q70)&gt;100),"discount over 100%, ","")&amp;IF(AND(P70="Fixed amount",O70&lt;&gt;"",N(Q70)&gt;N(O70)),"discount over price, ","")="","Ready","Missing: "&amp;LEFT(IF(E70="","description, ","")&amp;IF(AND(O70="",COUNTIFS(Variants!$A$3:$A$1502,A70,Variants!$K$3:$K$1502,"&lt;&gt;")=0),"price, ","")&amp;IF(T70="","image, ","")&amp;IF(B70="","category, ","")&amp;IF(N(AB70)=0,"variant, ","")&amp;IF(AND(P70="Percentage",N(Q70)&gt;100),"discount over 100%, ","")&amp;IF(AND(P70="Fixed amount",O70&lt;&gt;"",N(Q70)&gt;N(O70)),"discount over price, ",""),LEN(IF(E70="","description, ","")&amp;IF(AND(O70="",COUNTIFS(Variants!$A$3:$A$1502,A70,Variants!$K$3:$K$1502,"&lt;&gt;")=0),"price, ","")&amp;IF(T70="","image, ","")&amp;IF(B70="","category, ","")&amp;IF(N(AB70)=0,"variant, ","")&amp;IF(AND(P70="Percentage",N(Q70)&gt;100),"discount over 100%, ","")&amp;IF(AND(P70="Fixed amount",O70&lt;&gt;"",N(Q70)&gt;N(O70)),"discount over price, ",""))-2)))</f>
        <v/>
      </c>
    </row>
    <row r="71" spans="1:29" x14ac:dyDescent="0.3">
      <c r="A71" s="16"/>
      <c r="B71" s="16"/>
      <c r="C71" s="16"/>
      <c r="D71" s="17"/>
      <c r="E71" s="17"/>
      <c r="F71" s="16"/>
      <c r="G71" s="16"/>
      <c r="H71" s="16"/>
      <c r="I71" s="16"/>
      <c r="J71" s="16"/>
      <c r="K71" s="16"/>
      <c r="L71" s="17"/>
      <c r="M71" s="17"/>
      <c r="N71" s="17"/>
      <c r="O71" s="18"/>
      <c r="P71" s="16"/>
      <c r="Q71" s="16"/>
      <c r="R71" s="19" t="str">
        <f t="shared" si="2"/>
        <v/>
      </c>
      <c r="S71" s="19" t="str">
        <f t="shared" si="3"/>
        <v/>
      </c>
      <c r="T71" s="17"/>
      <c r="U71" s="16"/>
      <c r="V71" s="16"/>
      <c r="W71" s="16"/>
      <c r="X71" s="16"/>
      <c r="Y71" s="16"/>
      <c r="Z71" s="16"/>
      <c r="AA71" s="16"/>
      <c r="AB71" s="20" t="str">
        <f>IF(A71="","",COUNTIF(Variants!$A$3:$A$1502,A71))</f>
        <v/>
      </c>
      <c r="AC71" s="21" t="str">
        <f>IF(A71="","",IF(IF(E71="","description, ","")&amp;IF(AND(O71="",COUNTIFS(Variants!$A$3:$A$1502,A71,Variants!$K$3:$K$1502,"&lt;&gt;")=0),"price, ","")&amp;IF(T71="","image, ","")&amp;IF(B71="","category, ","")&amp;IF(N(AB71)=0,"variant, ","")&amp;IF(AND(P71="Percentage",N(Q71)&gt;100),"discount over 100%, ","")&amp;IF(AND(P71="Fixed amount",O71&lt;&gt;"",N(Q71)&gt;N(O71)),"discount over price, ","")="","Ready","Missing: "&amp;LEFT(IF(E71="","description, ","")&amp;IF(AND(O71="",COUNTIFS(Variants!$A$3:$A$1502,A71,Variants!$K$3:$K$1502,"&lt;&gt;")=0),"price, ","")&amp;IF(T71="","image, ","")&amp;IF(B71="","category, ","")&amp;IF(N(AB71)=0,"variant, ","")&amp;IF(AND(P71="Percentage",N(Q71)&gt;100),"discount over 100%, ","")&amp;IF(AND(P71="Fixed amount",O71&lt;&gt;"",N(Q71)&gt;N(O71)),"discount over price, ",""),LEN(IF(E71="","description, ","")&amp;IF(AND(O71="",COUNTIFS(Variants!$A$3:$A$1502,A71,Variants!$K$3:$K$1502,"&lt;&gt;")=0),"price, ","")&amp;IF(T71="","image, ","")&amp;IF(B71="","category, ","")&amp;IF(N(AB71)=0,"variant, ","")&amp;IF(AND(P71="Percentage",N(Q71)&gt;100),"discount over 100%, ","")&amp;IF(AND(P71="Fixed amount",O71&lt;&gt;"",N(Q71)&gt;N(O71)),"discount over price, ",""))-2)))</f>
        <v/>
      </c>
    </row>
    <row r="72" spans="1:29" x14ac:dyDescent="0.3">
      <c r="A72" s="16"/>
      <c r="B72" s="16"/>
      <c r="C72" s="16"/>
      <c r="D72" s="17"/>
      <c r="E72" s="17"/>
      <c r="F72" s="16"/>
      <c r="G72" s="16"/>
      <c r="H72" s="16"/>
      <c r="I72" s="16"/>
      <c r="J72" s="16"/>
      <c r="K72" s="16"/>
      <c r="L72" s="17"/>
      <c r="M72" s="17"/>
      <c r="N72" s="17"/>
      <c r="O72" s="18"/>
      <c r="P72" s="16"/>
      <c r="Q72" s="16"/>
      <c r="R72" s="19" t="str">
        <f t="shared" si="2"/>
        <v/>
      </c>
      <c r="S72" s="19" t="str">
        <f t="shared" si="3"/>
        <v/>
      </c>
      <c r="T72" s="17"/>
      <c r="U72" s="16"/>
      <c r="V72" s="16"/>
      <c r="W72" s="16"/>
      <c r="X72" s="16"/>
      <c r="Y72" s="16"/>
      <c r="Z72" s="16"/>
      <c r="AA72" s="16"/>
      <c r="AB72" s="20" t="str">
        <f>IF(A72="","",COUNTIF(Variants!$A$3:$A$1502,A72))</f>
        <v/>
      </c>
      <c r="AC72" s="21" t="str">
        <f>IF(A72="","",IF(IF(E72="","description, ","")&amp;IF(AND(O72="",COUNTIFS(Variants!$A$3:$A$1502,A72,Variants!$K$3:$K$1502,"&lt;&gt;")=0),"price, ","")&amp;IF(T72="","image, ","")&amp;IF(B72="","category, ","")&amp;IF(N(AB72)=0,"variant, ","")&amp;IF(AND(P72="Percentage",N(Q72)&gt;100),"discount over 100%, ","")&amp;IF(AND(P72="Fixed amount",O72&lt;&gt;"",N(Q72)&gt;N(O72)),"discount over price, ","")="","Ready","Missing: "&amp;LEFT(IF(E72="","description, ","")&amp;IF(AND(O72="",COUNTIFS(Variants!$A$3:$A$1502,A72,Variants!$K$3:$K$1502,"&lt;&gt;")=0),"price, ","")&amp;IF(T72="","image, ","")&amp;IF(B72="","category, ","")&amp;IF(N(AB72)=0,"variant, ","")&amp;IF(AND(P72="Percentage",N(Q72)&gt;100),"discount over 100%, ","")&amp;IF(AND(P72="Fixed amount",O72&lt;&gt;"",N(Q72)&gt;N(O72)),"discount over price, ",""),LEN(IF(E72="","description, ","")&amp;IF(AND(O72="",COUNTIFS(Variants!$A$3:$A$1502,A72,Variants!$K$3:$K$1502,"&lt;&gt;")=0),"price, ","")&amp;IF(T72="","image, ","")&amp;IF(B72="","category, ","")&amp;IF(N(AB72)=0,"variant, ","")&amp;IF(AND(P72="Percentage",N(Q72)&gt;100),"discount over 100%, ","")&amp;IF(AND(P72="Fixed amount",O72&lt;&gt;"",N(Q72)&gt;N(O72)),"discount over price, ",""))-2)))</f>
        <v/>
      </c>
    </row>
    <row r="73" spans="1:29" x14ac:dyDescent="0.3">
      <c r="A73" s="16"/>
      <c r="B73" s="16"/>
      <c r="C73" s="16"/>
      <c r="D73" s="17"/>
      <c r="E73" s="17"/>
      <c r="F73" s="16"/>
      <c r="G73" s="16"/>
      <c r="H73" s="16"/>
      <c r="I73" s="16"/>
      <c r="J73" s="16"/>
      <c r="K73" s="16"/>
      <c r="L73" s="17"/>
      <c r="M73" s="17"/>
      <c r="N73" s="17"/>
      <c r="O73" s="18"/>
      <c r="P73" s="16"/>
      <c r="Q73" s="16"/>
      <c r="R73" s="19" t="str">
        <f t="shared" si="2"/>
        <v/>
      </c>
      <c r="S73" s="19" t="str">
        <f t="shared" si="3"/>
        <v/>
      </c>
      <c r="T73" s="17"/>
      <c r="U73" s="16"/>
      <c r="V73" s="16"/>
      <c r="W73" s="16"/>
      <c r="X73" s="16"/>
      <c r="Y73" s="16"/>
      <c r="Z73" s="16"/>
      <c r="AA73" s="16"/>
      <c r="AB73" s="20" t="str">
        <f>IF(A73="","",COUNTIF(Variants!$A$3:$A$1502,A73))</f>
        <v/>
      </c>
      <c r="AC73" s="21" t="str">
        <f>IF(A73="","",IF(IF(E73="","description, ","")&amp;IF(AND(O73="",COUNTIFS(Variants!$A$3:$A$1502,A73,Variants!$K$3:$K$1502,"&lt;&gt;")=0),"price, ","")&amp;IF(T73="","image, ","")&amp;IF(B73="","category, ","")&amp;IF(N(AB73)=0,"variant, ","")&amp;IF(AND(P73="Percentage",N(Q73)&gt;100),"discount over 100%, ","")&amp;IF(AND(P73="Fixed amount",O73&lt;&gt;"",N(Q73)&gt;N(O73)),"discount over price, ","")="","Ready","Missing: "&amp;LEFT(IF(E73="","description, ","")&amp;IF(AND(O73="",COUNTIFS(Variants!$A$3:$A$1502,A73,Variants!$K$3:$K$1502,"&lt;&gt;")=0),"price, ","")&amp;IF(T73="","image, ","")&amp;IF(B73="","category, ","")&amp;IF(N(AB73)=0,"variant, ","")&amp;IF(AND(P73="Percentage",N(Q73)&gt;100),"discount over 100%, ","")&amp;IF(AND(P73="Fixed amount",O73&lt;&gt;"",N(Q73)&gt;N(O73)),"discount over price, ",""),LEN(IF(E73="","description, ","")&amp;IF(AND(O73="",COUNTIFS(Variants!$A$3:$A$1502,A73,Variants!$K$3:$K$1502,"&lt;&gt;")=0),"price, ","")&amp;IF(T73="","image, ","")&amp;IF(B73="","category, ","")&amp;IF(N(AB73)=0,"variant, ","")&amp;IF(AND(P73="Percentage",N(Q73)&gt;100),"discount over 100%, ","")&amp;IF(AND(P73="Fixed amount",O73&lt;&gt;"",N(Q73)&gt;N(O73)),"discount over price, ",""))-2)))</f>
        <v/>
      </c>
    </row>
    <row r="74" spans="1:29" x14ac:dyDescent="0.3">
      <c r="A74" s="16"/>
      <c r="B74" s="16"/>
      <c r="C74" s="16"/>
      <c r="D74" s="17"/>
      <c r="E74" s="17"/>
      <c r="F74" s="16"/>
      <c r="G74" s="16"/>
      <c r="H74" s="16"/>
      <c r="I74" s="16"/>
      <c r="J74" s="16"/>
      <c r="K74" s="16"/>
      <c r="L74" s="17"/>
      <c r="M74" s="17"/>
      <c r="N74" s="17"/>
      <c r="O74" s="18"/>
      <c r="P74" s="16"/>
      <c r="Q74" s="16"/>
      <c r="R74" s="19" t="str">
        <f t="shared" si="2"/>
        <v/>
      </c>
      <c r="S74" s="19" t="str">
        <f t="shared" si="3"/>
        <v/>
      </c>
      <c r="T74" s="17"/>
      <c r="U74" s="16"/>
      <c r="V74" s="16"/>
      <c r="W74" s="16"/>
      <c r="X74" s="16"/>
      <c r="Y74" s="16"/>
      <c r="Z74" s="16"/>
      <c r="AA74" s="16"/>
      <c r="AB74" s="20" t="str">
        <f>IF(A74="","",COUNTIF(Variants!$A$3:$A$1502,A74))</f>
        <v/>
      </c>
      <c r="AC74" s="21" t="str">
        <f>IF(A74="","",IF(IF(E74="","description, ","")&amp;IF(AND(O74="",COUNTIFS(Variants!$A$3:$A$1502,A74,Variants!$K$3:$K$1502,"&lt;&gt;")=0),"price, ","")&amp;IF(T74="","image, ","")&amp;IF(B74="","category, ","")&amp;IF(N(AB74)=0,"variant, ","")&amp;IF(AND(P74="Percentage",N(Q74)&gt;100),"discount over 100%, ","")&amp;IF(AND(P74="Fixed amount",O74&lt;&gt;"",N(Q74)&gt;N(O74)),"discount over price, ","")="","Ready","Missing: "&amp;LEFT(IF(E74="","description, ","")&amp;IF(AND(O74="",COUNTIFS(Variants!$A$3:$A$1502,A74,Variants!$K$3:$K$1502,"&lt;&gt;")=0),"price, ","")&amp;IF(T74="","image, ","")&amp;IF(B74="","category, ","")&amp;IF(N(AB74)=0,"variant, ","")&amp;IF(AND(P74="Percentage",N(Q74)&gt;100),"discount over 100%, ","")&amp;IF(AND(P74="Fixed amount",O74&lt;&gt;"",N(Q74)&gt;N(O74)),"discount over price, ",""),LEN(IF(E74="","description, ","")&amp;IF(AND(O74="",COUNTIFS(Variants!$A$3:$A$1502,A74,Variants!$K$3:$K$1502,"&lt;&gt;")=0),"price, ","")&amp;IF(T74="","image, ","")&amp;IF(B74="","category, ","")&amp;IF(N(AB74)=0,"variant, ","")&amp;IF(AND(P74="Percentage",N(Q74)&gt;100),"discount over 100%, ","")&amp;IF(AND(P74="Fixed amount",O74&lt;&gt;"",N(Q74)&gt;N(O74)),"discount over price, ",""))-2)))</f>
        <v/>
      </c>
    </row>
    <row r="75" spans="1:29" x14ac:dyDescent="0.3">
      <c r="A75" s="16"/>
      <c r="B75" s="16"/>
      <c r="C75" s="16"/>
      <c r="D75" s="17"/>
      <c r="E75" s="17"/>
      <c r="F75" s="16"/>
      <c r="G75" s="16"/>
      <c r="H75" s="16"/>
      <c r="I75" s="16"/>
      <c r="J75" s="16"/>
      <c r="K75" s="16"/>
      <c r="L75" s="17"/>
      <c r="M75" s="17"/>
      <c r="N75" s="17"/>
      <c r="O75" s="18"/>
      <c r="P75" s="16"/>
      <c r="Q75" s="16"/>
      <c r="R75" s="19" t="str">
        <f t="shared" si="2"/>
        <v/>
      </c>
      <c r="S75" s="19" t="str">
        <f t="shared" si="3"/>
        <v/>
      </c>
      <c r="T75" s="17"/>
      <c r="U75" s="16"/>
      <c r="V75" s="16"/>
      <c r="W75" s="16"/>
      <c r="X75" s="16"/>
      <c r="Y75" s="16"/>
      <c r="Z75" s="16"/>
      <c r="AA75" s="16"/>
      <c r="AB75" s="20" t="str">
        <f>IF(A75="","",COUNTIF(Variants!$A$3:$A$1502,A75))</f>
        <v/>
      </c>
      <c r="AC75" s="21" t="str">
        <f>IF(A75="","",IF(IF(E75="","description, ","")&amp;IF(AND(O75="",COUNTIFS(Variants!$A$3:$A$1502,A75,Variants!$K$3:$K$1502,"&lt;&gt;")=0),"price, ","")&amp;IF(T75="","image, ","")&amp;IF(B75="","category, ","")&amp;IF(N(AB75)=0,"variant, ","")&amp;IF(AND(P75="Percentage",N(Q75)&gt;100),"discount over 100%, ","")&amp;IF(AND(P75="Fixed amount",O75&lt;&gt;"",N(Q75)&gt;N(O75)),"discount over price, ","")="","Ready","Missing: "&amp;LEFT(IF(E75="","description, ","")&amp;IF(AND(O75="",COUNTIFS(Variants!$A$3:$A$1502,A75,Variants!$K$3:$K$1502,"&lt;&gt;")=0),"price, ","")&amp;IF(T75="","image, ","")&amp;IF(B75="","category, ","")&amp;IF(N(AB75)=0,"variant, ","")&amp;IF(AND(P75="Percentage",N(Q75)&gt;100),"discount over 100%, ","")&amp;IF(AND(P75="Fixed amount",O75&lt;&gt;"",N(Q75)&gt;N(O75)),"discount over price, ",""),LEN(IF(E75="","description, ","")&amp;IF(AND(O75="",COUNTIFS(Variants!$A$3:$A$1502,A75,Variants!$K$3:$K$1502,"&lt;&gt;")=0),"price, ","")&amp;IF(T75="","image, ","")&amp;IF(B75="","category, ","")&amp;IF(N(AB75)=0,"variant, ","")&amp;IF(AND(P75="Percentage",N(Q75)&gt;100),"discount over 100%, ","")&amp;IF(AND(P75="Fixed amount",O75&lt;&gt;"",N(Q75)&gt;N(O75)),"discount over price, ",""))-2)))</f>
        <v/>
      </c>
    </row>
    <row r="76" spans="1:29" x14ac:dyDescent="0.3">
      <c r="A76" s="16"/>
      <c r="B76" s="16"/>
      <c r="C76" s="16"/>
      <c r="D76" s="17"/>
      <c r="E76" s="17"/>
      <c r="F76" s="16"/>
      <c r="G76" s="16"/>
      <c r="H76" s="16"/>
      <c r="I76" s="16"/>
      <c r="J76" s="16"/>
      <c r="K76" s="16"/>
      <c r="L76" s="17"/>
      <c r="M76" s="17"/>
      <c r="N76" s="17"/>
      <c r="O76" s="18"/>
      <c r="P76" s="16"/>
      <c r="Q76" s="16"/>
      <c r="R76" s="19" t="str">
        <f t="shared" si="2"/>
        <v/>
      </c>
      <c r="S76" s="19" t="str">
        <f t="shared" si="3"/>
        <v/>
      </c>
      <c r="T76" s="17"/>
      <c r="U76" s="16"/>
      <c r="V76" s="16"/>
      <c r="W76" s="16"/>
      <c r="X76" s="16"/>
      <c r="Y76" s="16"/>
      <c r="Z76" s="16"/>
      <c r="AA76" s="16"/>
      <c r="AB76" s="20" t="str">
        <f>IF(A76="","",COUNTIF(Variants!$A$3:$A$1502,A76))</f>
        <v/>
      </c>
      <c r="AC76" s="21" t="str">
        <f>IF(A76="","",IF(IF(E76="","description, ","")&amp;IF(AND(O76="",COUNTIFS(Variants!$A$3:$A$1502,A76,Variants!$K$3:$K$1502,"&lt;&gt;")=0),"price, ","")&amp;IF(T76="","image, ","")&amp;IF(B76="","category, ","")&amp;IF(N(AB76)=0,"variant, ","")&amp;IF(AND(P76="Percentage",N(Q76)&gt;100),"discount over 100%, ","")&amp;IF(AND(P76="Fixed amount",O76&lt;&gt;"",N(Q76)&gt;N(O76)),"discount over price, ","")="","Ready","Missing: "&amp;LEFT(IF(E76="","description, ","")&amp;IF(AND(O76="",COUNTIFS(Variants!$A$3:$A$1502,A76,Variants!$K$3:$K$1502,"&lt;&gt;")=0),"price, ","")&amp;IF(T76="","image, ","")&amp;IF(B76="","category, ","")&amp;IF(N(AB76)=0,"variant, ","")&amp;IF(AND(P76="Percentage",N(Q76)&gt;100),"discount over 100%, ","")&amp;IF(AND(P76="Fixed amount",O76&lt;&gt;"",N(Q76)&gt;N(O76)),"discount over price, ",""),LEN(IF(E76="","description, ","")&amp;IF(AND(O76="",COUNTIFS(Variants!$A$3:$A$1502,A76,Variants!$K$3:$K$1502,"&lt;&gt;")=0),"price, ","")&amp;IF(T76="","image, ","")&amp;IF(B76="","category, ","")&amp;IF(N(AB76)=0,"variant, ","")&amp;IF(AND(P76="Percentage",N(Q76)&gt;100),"discount over 100%, ","")&amp;IF(AND(P76="Fixed amount",O76&lt;&gt;"",N(Q76)&gt;N(O76)),"discount over price, ",""))-2)))</f>
        <v/>
      </c>
    </row>
    <row r="77" spans="1:29" x14ac:dyDescent="0.3">
      <c r="A77" s="16"/>
      <c r="B77" s="16"/>
      <c r="C77" s="16"/>
      <c r="D77" s="17"/>
      <c r="E77" s="17"/>
      <c r="F77" s="16"/>
      <c r="G77" s="16"/>
      <c r="H77" s="16"/>
      <c r="I77" s="16"/>
      <c r="J77" s="16"/>
      <c r="K77" s="16"/>
      <c r="L77" s="17"/>
      <c r="M77" s="17"/>
      <c r="N77" s="17"/>
      <c r="O77" s="18"/>
      <c r="P77" s="16"/>
      <c r="Q77" s="16"/>
      <c r="R77" s="19" t="str">
        <f t="shared" si="2"/>
        <v/>
      </c>
      <c r="S77" s="19" t="str">
        <f t="shared" si="3"/>
        <v/>
      </c>
      <c r="T77" s="17"/>
      <c r="U77" s="16"/>
      <c r="V77" s="16"/>
      <c r="W77" s="16"/>
      <c r="X77" s="16"/>
      <c r="Y77" s="16"/>
      <c r="Z77" s="16"/>
      <c r="AA77" s="16"/>
      <c r="AB77" s="20" t="str">
        <f>IF(A77="","",COUNTIF(Variants!$A$3:$A$1502,A77))</f>
        <v/>
      </c>
      <c r="AC77" s="21" t="str">
        <f>IF(A77="","",IF(IF(E77="","description, ","")&amp;IF(AND(O77="",COUNTIFS(Variants!$A$3:$A$1502,A77,Variants!$K$3:$K$1502,"&lt;&gt;")=0),"price, ","")&amp;IF(T77="","image, ","")&amp;IF(B77="","category, ","")&amp;IF(N(AB77)=0,"variant, ","")&amp;IF(AND(P77="Percentage",N(Q77)&gt;100),"discount over 100%, ","")&amp;IF(AND(P77="Fixed amount",O77&lt;&gt;"",N(Q77)&gt;N(O77)),"discount over price, ","")="","Ready","Missing: "&amp;LEFT(IF(E77="","description, ","")&amp;IF(AND(O77="",COUNTIFS(Variants!$A$3:$A$1502,A77,Variants!$K$3:$K$1502,"&lt;&gt;")=0),"price, ","")&amp;IF(T77="","image, ","")&amp;IF(B77="","category, ","")&amp;IF(N(AB77)=0,"variant, ","")&amp;IF(AND(P77="Percentage",N(Q77)&gt;100),"discount over 100%, ","")&amp;IF(AND(P77="Fixed amount",O77&lt;&gt;"",N(Q77)&gt;N(O77)),"discount over price, ",""),LEN(IF(E77="","description, ","")&amp;IF(AND(O77="",COUNTIFS(Variants!$A$3:$A$1502,A77,Variants!$K$3:$K$1502,"&lt;&gt;")=0),"price, ","")&amp;IF(T77="","image, ","")&amp;IF(B77="","category, ","")&amp;IF(N(AB77)=0,"variant, ","")&amp;IF(AND(P77="Percentage",N(Q77)&gt;100),"discount over 100%, ","")&amp;IF(AND(P77="Fixed amount",O77&lt;&gt;"",N(Q77)&gt;N(O77)),"discount over price, ",""))-2)))</f>
        <v/>
      </c>
    </row>
    <row r="78" spans="1:29" x14ac:dyDescent="0.3">
      <c r="A78" s="16"/>
      <c r="B78" s="16"/>
      <c r="C78" s="16"/>
      <c r="D78" s="17"/>
      <c r="E78" s="17"/>
      <c r="F78" s="16"/>
      <c r="G78" s="16"/>
      <c r="H78" s="16"/>
      <c r="I78" s="16"/>
      <c r="J78" s="16"/>
      <c r="K78" s="16"/>
      <c r="L78" s="17"/>
      <c r="M78" s="17"/>
      <c r="N78" s="17"/>
      <c r="O78" s="18"/>
      <c r="P78" s="16"/>
      <c r="Q78" s="16"/>
      <c r="R78" s="19" t="str">
        <f t="shared" si="2"/>
        <v/>
      </c>
      <c r="S78" s="19" t="str">
        <f t="shared" si="3"/>
        <v/>
      </c>
      <c r="T78" s="17"/>
      <c r="U78" s="16"/>
      <c r="V78" s="16"/>
      <c r="W78" s="16"/>
      <c r="X78" s="16"/>
      <c r="Y78" s="16"/>
      <c r="Z78" s="16"/>
      <c r="AA78" s="16"/>
      <c r="AB78" s="20" t="str">
        <f>IF(A78="","",COUNTIF(Variants!$A$3:$A$1502,A78))</f>
        <v/>
      </c>
      <c r="AC78" s="21" t="str">
        <f>IF(A78="","",IF(IF(E78="","description, ","")&amp;IF(AND(O78="",COUNTIFS(Variants!$A$3:$A$1502,A78,Variants!$K$3:$K$1502,"&lt;&gt;")=0),"price, ","")&amp;IF(T78="","image, ","")&amp;IF(B78="","category, ","")&amp;IF(N(AB78)=0,"variant, ","")&amp;IF(AND(P78="Percentage",N(Q78)&gt;100),"discount over 100%, ","")&amp;IF(AND(P78="Fixed amount",O78&lt;&gt;"",N(Q78)&gt;N(O78)),"discount over price, ","")="","Ready","Missing: "&amp;LEFT(IF(E78="","description, ","")&amp;IF(AND(O78="",COUNTIFS(Variants!$A$3:$A$1502,A78,Variants!$K$3:$K$1502,"&lt;&gt;")=0),"price, ","")&amp;IF(T78="","image, ","")&amp;IF(B78="","category, ","")&amp;IF(N(AB78)=0,"variant, ","")&amp;IF(AND(P78="Percentage",N(Q78)&gt;100),"discount over 100%, ","")&amp;IF(AND(P78="Fixed amount",O78&lt;&gt;"",N(Q78)&gt;N(O78)),"discount over price, ",""),LEN(IF(E78="","description, ","")&amp;IF(AND(O78="",COUNTIFS(Variants!$A$3:$A$1502,A78,Variants!$K$3:$K$1502,"&lt;&gt;")=0),"price, ","")&amp;IF(T78="","image, ","")&amp;IF(B78="","category, ","")&amp;IF(N(AB78)=0,"variant, ","")&amp;IF(AND(P78="Percentage",N(Q78)&gt;100),"discount over 100%, ","")&amp;IF(AND(P78="Fixed amount",O78&lt;&gt;"",N(Q78)&gt;N(O78)),"discount over price, ",""))-2)))</f>
        <v/>
      </c>
    </row>
    <row r="79" spans="1:29" x14ac:dyDescent="0.3">
      <c r="A79" s="16"/>
      <c r="B79" s="16"/>
      <c r="C79" s="16"/>
      <c r="D79" s="17"/>
      <c r="E79" s="17"/>
      <c r="F79" s="16"/>
      <c r="G79" s="16"/>
      <c r="H79" s="16"/>
      <c r="I79" s="16"/>
      <c r="J79" s="16"/>
      <c r="K79" s="16"/>
      <c r="L79" s="17"/>
      <c r="M79" s="17"/>
      <c r="N79" s="17"/>
      <c r="O79" s="18"/>
      <c r="P79" s="16"/>
      <c r="Q79" s="16"/>
      <c r="R79" s="19" t="str">
        <f t="shared" si="2"/>
        <v/>
      </c>
      <c r="S79" s="19" t="str">
        <f t="shared" si="3"/>
        <v/>
      </c>
      <c r="T79" s="17"/>
      <c r="U79" s="16"/>
      <c r="V79" s="16"/>
      <c r="W79" s="16"/>
      <c r="X79" s="16"/>
      <c r="Y79" s="16"/>
      <c r="Z79" s="16"/>
      <c r="AA79" s="16"/>
      <c r="AB79" s="20" t="str">
        <f>IF(A79="","",COUNTIF(Variants!$A$3:$A$1502,A79))</f>
        <v/>
      </c>
      <c r="AC79" s="21" t="str">
        <f>IF(A79="","",IF(IF(E79="","description, ","")&amp;IF(AND(O79="",COUNTIFS(Variants!$A$3:$A$1502,A79,Variants!$K$3:$K$1502,"&lt;&gt;")=0),"price, ","")&amp;IF(T79="","image, ","")&amp;IF(B79="","category, ","")&amp;IF(N(AB79)=0,"variant, ","")&amp;IF(AND(P79="Percentage",N(Q79)&gt;100),"discount over 100%, ","")&amp;IF(AND(P79="Fixed amount",O79&lt;&gt;"",N(Q79)&gt;N(O79)),"discount over price, ","")="","Ready","Missing: "&amp;LEFT(IF(E79="","description, ","")&amp;IF(AND(O79="",COUNTIFS(Variants!$A$3:$A$1502,A79,Variants!$K$3:$K$1502,"&lt;&gt;")=0),"price, ","")&amp;IF(T79="","image, ","")&amp;IF(B79="","category, ","")&amp;IF(N(AB79)=0,"variant, ","")&amp;IF(AND(P79="Percentage",N(Q79)&gt;100),"discount over 100%, ","")&amp;IF(AND(P79="Fixed amount",O79&lt;&gt;"",N(Q79)&gt;N(O79)),"discount over price, ",""),LEN(IF(E79="","description, ","")&amp;IF(AND(O79="",COUNTIFS(Variants!$A$3:$A$1502,A79,Variants!$K$3:$K$1502,"&lt;&gt;")=0),"price, ","")&amp;IF(T79="","image, ","")&amp;IF(B79="","category, ","")&amp;IF(N(AB79)=0,"variant, ","")&amp;IF(AND(P79="Percentage",N(Q79)&gt;100),"discount over 100%, ","")&amp;IF(AND(P79="Fixed amount",O79&lt;&gt;"",N(Q79)&gt;N(O79)),"discount over price, ",""))-2)))</f>
        <v/>
      </c>
    </row>
    <row r="80" spans="1:29" x14ac:dyDescent="0.3">
      <c r="A80" s="16"/>
      <c r="B80" s="16"/>
      <c r="C80" s="16"/>
      <c r="D80" s="17"/>
      <c r="E80" s="17"/>
      <c r="F80" s="16"/>
      <c r="G80" s="16"/>
      <c r="H80" s="16"/>
      <c r="I80" s="16"/>
      <c r="J80" s="16"/>
      <c r="K80" s="16"/>
      <c r="L80" s="17"/>
      <c r="M80" s="17"/>
      <c r="N80" s="17"/>
      <c r="O80" s="18"/>
      <c r="P80" s="16"/>
      <c r="Q80" s="16"/>
      <c r="R80" s="19" t="str">
        <f t="shared" si="2"/>
        <v/>
      </c>
      <c r="S80" s="19" t="str">
        <f t="shared" si="3"/>
        <v/>
      </c>
      <c r="T80" s="17"/>
      <c r="U80" s="16"/>
      <c r="V80" s="16"/>
      <c r="W80" s="16"/>
      <c r="X80" s="16"/>
      <c r="Y80" s="16"/>
      <c r="Z80" s="16"/>
      <c r="AA80" s="16"/>
      <c r="AB80" s="20" t="str">
        <f>IF(A80="","",COUNTIF(Variants!$A$3:$A$1502,A80))</f>
        <v/>
      </c>
      <c r="AC80" s="21" t="str">
        <f>IF(A80="","",IF(IF(E80="","description, ","")&amp;IF(AND(O80="",COUNTIFS(Variants!$A$3:$A$1502,A80,Variants!$K$3:$K$1502,"&lt;&gt;")=0),"price, ","")&amp;IF(T80="","image, ","")&amp;IF(B80="","category, ","")&amp;IF(N(AB80)=0,"variant, ","")&amp;IF(AND(P80="Percentage",N(Q80)&gt;100),"discount over 100%, ","")&amp;IF(AND(P80="Fixed amount",O80&lt;&gt;"",N(Q80)&gt;N(O80)),"discount over price, ","")="","Ready","Missing: "&amp;LEFT(IF(E80="","description, ","")&amp;IF(AND(O80="",COUNTIFS(Variants!$A$3:$A$1502,A80,Variants!$K$3:$K$1502,"&lt;&gt;")=0),"price, ","")&amp;IF(T80="","image, ","")&amp;IF(B80="","category, ","")&amp;IF(N(AB80)=0,"variant, ","")&amp;IF(AND(P80="Percentage",N(Q80)&gt;100),"discount over 100%, ","")&amp;IF(AND(P80="Fixed amount",O80&lt;&gt;"",N(Q80)&gt;N(O80)),"discount over price, ",""),LEN(IF(E80="","description, ","")&amp;IF(AND(O80="",COUNTIFS(Variants!$A$3:$A$1502,A80,Variants!$K$3:$K$1502,"&lt;&gt;")=0),"price, ","")&amp;IF(T80="","image, ","")&amp;IF(B80="","category, ","")&amp;IF(N(AB80)=0,"variant, ","")&amp;IF(AND(P80="Percentage",N(Q80)&gt;100),"discount over 100%, ","")&amp;IF(AND(P80="Fixed amount",O80&lt;&gt;"",N(Q80)&gt;N(O80)),"discount over price, ",""))-2)))</f>
        <v/>
      </c>
    </row>
    <row r="81" spans="1:29" x14ac:dyDescent="0.3">
      <c r="A81" s="16"/>
      <c r="B81" s="16"/>
      <c r="C81" s="16"/>
      <c r="D81" s="17"/>
      <c r="E81" s="17"/>
      <c r="F81" s="16"/>
      <c r="G81" s="16"/>
      <c r="H81" s="16"/>
      <c r="I81" s="16"/>
      <c r="J81" s="16"/>
      <c r="K81" s="16"/>
      <c r="L81" s="17"/>
      <c r="M81" s="17"/>
      <c r="N81" s="17"/>
      <c r="O81" s="18"/>
      <c r="P81" s="16"/>
      <c r="Q81" s="16"/>
      <c r="R81" s="19" t="str">
        <f t="shared" si="2"/>
        <v/>
      </c>
      <c r="S81" s="19" t="str">
        <f t="shared" si="3"/>
        <v/>
      </c>
      <c r="T81" s="17"/>
      <c r="U81" s="16"/>
      <c r="V81" s="16"/>
      <c r="W81" s="16"/>
      <c r="X81" s="16"/>
      <c r="Y81" s="16"/>
      <c r="Z81" s="16"/>
      <c r="AA81" s="16"/>
      <c r="AB81" s="20" t="str">
        <f>IF(A81="","",COUNTIF(Variants!$A$3:$A$1502,A81))</f>
        <v/>
      </c>
      <c r="AC81" s="21" t="str">
        <f>IF(A81="","",IF(IF(E81="","description, ","")&amp;IF(AND(O81="",COUNTIFS(Variants!$A$3:$A$1502,A81,Variants!$K$3:$K$1502,"&lt;&gt;")=0),"price, ","")&amp;IF(T81="","image, ","")&amp;IF(B81="","category, ","")&amp;IF(N(AB81)=0,"variant, ","")&amp;IF(AND(P81="Percentage",N(Q81)&gt;100),"discount over 100%, ","")&amp;IF(AND(P81="Fixed amount",O81&lt;&gt;"",N(Q81)&gt;N(O81)),"discount over price, ","")="","Ready","Missing: "&amp;LEFT(IF(E81="","description, ","")&amp;IF(AND(O81="",COUNTIFS(Variants!$A$3:$A$1502,A81,Variants!$K$3:$K$1502,"&lt;&gt;")=0),"price, ","")&amp;IF(T81="","image, ","")&amp;IF(B81="","category, ","")&amp;IF(N(AB81)=0,"variant, ","")&amp;IF(AND(P81="Percentage",N(Q81)&gt;100),"discount over 100%, ","")&amp;IF(AND(P81="Fixed amount",O81&lt;&gt;"",N(Q81)&gt;N(O81)),"discount over price, ",""),LEN(IF(E81="","description, ","")&amp;IF(AND(O81="",COUNTIFS(Variants!$A$3:$A$1502,A81,Variants!$K$3:$K$1502,"&lt;&gt;")=0),"price, ","")&amp;IF(T81="","image, ","")&amp;IF(B81="","category, ","")&amp;IF(N(AB81)=0,"variant, ","")&amp;IF(AND(P81="Percentage",N(Q81)&gt;100),"discount over 100%, ","")&amp;IF(AND(P81="Fixed amount",O81&lt;&gt;"",N(Q81)&gt;N(O81)),"discount over price, ",""))-2)))</f>
        <v/>
      </c>
    </row>
    <row r="82" spans="1:29" x14ac:dyDescent="0.3">
      <c r="A82" s="16"/>
      <c r="B82" s="16"/>
      <c r="C82" s="16"/>
      <c r="D82" s="17"/>
      <c r="E82" s="17"/>
      <c r="F82" s="16"/>
      <c r="G82" s="16"/>
      <c r="H82" s="16"/>
      <c r="I82" s="16"/>
      <c r="J82" s="16"/>
      <c r="K82" s="16"/>
      <c r="L82" s="17"/>
      <c r="M82" s="17"/>
      <c r="N82" s="17"/>
      <c r="O82" s="18"/>
      <c r="P82" s="16"/>
      <c r="Q82" s="16"/>
      <c r="R82" s="19" t="str">
        <f t="shared" si="2"/>
        <v/>
      </c>
      <c r="S82" s="19" t="str">
        <f t="shared" si="3"/>
        <v/>
      </c>
      <c r="T82" s="17"/>
      <c r="U82" s="16"/>
      <c r="V82" s="16"/>
      <c r="W82" s="16"/>
      <c r="X82" s="16"/>
      <c r="Y82" s="16"/>
      <c r="Z82" s="16"/>
      <c r="AA82" s="16"/>
      <c r="AB82" s="20" t="str">
        <f>IF(A82="","",COUNTIF(Variants!$A$3:$A$1502,A82))</f>
        <v/>
      </c>
      <c r="AC82" s="21" t="str">
        <f>IF(A82="","",IF(IF(E82="","description, ","")&amp;IF(AND(O82="",COUNTIFS(Variants!$A$3:$A$1502,A82,Variants!$K$3:$K$1502,"&lt;&gt;")=0),"price, ","")&amp;IF(T82="","image, ","")&amp;IF(B82="","category, ","")&amp;IF(N(AB82)=0,"variant, ","")&amp;IF(AND(P82="Percentage",N(Q82)&gt;100),"discount over 100%, ","")&amp;IF(AND(P82="Fixed amount",O82&lt;&gt;"",N(Q82)&gt;N(O82)),"discount over price, ","")="","Ready","Missing: "&amp;LEFT(IF(E82="","description, ","")&amp;IF(AND(O82="",COUNTIFS(Variants!$A$3:$A$1502,A82,Variants!$K$3:$K$1502,"&lt;&gt;")=0),"price, ","")&amp;IF(T82="","image, ","")&amp;IF(B82="","category, ","")&amp;IF(N(AB82)=0,"variant, ","")&amp;IF(AND(P82="Percentage",N(Q82)&gt;100),"discount over 100%, ","")&amp;IF(AND(P82="Fixed amount",O82&lt;&gt;"",N(Q82)&gt;N(O82)),"discount over price, ",""),LEN(IF(E82="","description, ","")&amp;IF(AND(O82="",COUNTIFS(Variants!$A$3:$A$1502,A82,Variants!$K$3:$K$1502,"&lt;&gt;")=0),"price, ","")&amp;IF(T82="","image, ","")&amp;IF(B82="","category, ","")&amp;IF(N(AB82)=0,"variant, ","")&amp;IF(AND(P82="Percentage",N(Q82)&gt;100),"discount over 100%, ","")&amp;IF(AND(P82="Fixed amount",O82&lt;&gt;"",N(Q82)&gt;N(O82)),"discount over price, ",""))-2)))</f>
        <v/>
      </c>
    </row>
    <row r="83" spans="1:29" x14ac:dyDescent="0.3">
      <c r="A83" s="16"/>
      <c r="B83" s="16"/>
      <c r="C83" s="16"/>
      <c r="D83" s="17"/>
      <c r="E83" s="17"/>
      <c r="F83" s="16"/>
      <c r="G83" s="16"/>
      <c r="H83" s="16"/>
      <c r="I83" s="16"/>
      <c r="J83" s="16"/>
      <c r="K83" s="16"/>
      <c r="L83" s="17"/>
      <c r="M83" s="17"/>
      <c r="N83" s="17"/>
      <c r="O83" s="18"/>
      <c r="P83" s="16"/>
      <c r="Q83" s="16"/>
      <c r="R83" s="19" t="str">
        <f t="shared" si="2"/>
        <v/>
      </c>
      <c r="S83" s="19" t="str">
        <f t="shared" si="3"/>
        <v/>
      </c>
      <c r="T83" s="17"/>
      <c r="U83" s="16"/>
      <c r="V83" s="16"/>
      <c r="W83" s="16"/>
      <c r="X83" s="16"/>
      <c r="Y83" s="16"/>
      <c r="Z83" s="16"/>
      <c r="AA83" s="16"/>
      <c r="AB83" s="20" t="str">
        <f>IF(A83="","",COUNTIF(Variants!$A$3:$A$1502,A83))</f>
        <v/>
      </c>
      <c r="AC83" s="21" t="str">
        <f>IF(A83="","",IF(IF(E83="","description, ","")&amp;IF(AND(O83="",COUNTIFS(Variants!$A$3:$A$1502,A83,Variants!$K$3:$K$1502,"&lt;&gt;")=0),"price, ","")&amp;IF(T83="","image, ","")&amp;IF(B83="","category, ","")&amp;IF(N(AB83)=0,"variant, ","")&amp;IF(AND(P83="Percentage",N(Q83)&gt;100),"discount over 100%, ","")&amp;IF(AND(P83="Fixed amount",O83&lt;&gt;"",N(Q83)&gt;N(O83)),"discount over price, ","")="","Ready","Missing: "&amp;LEFT(IF(E83="","description, ","")&amp;IF(AND(O83="",COUNTIFS(Variants!$A$3:$A$1502,A83,Variants!$K$3:$K$1502,"&lt;&gt;")=0),"price, ","")&amp;IF(T83="","image, ","")&amp;IF(B83="","category, ","")&amp;IF(N(AB83)=0,"variant, ","")&amp;IF(AND(P83="Percentage",N(Q83)&gt;100),"discount over 100%, ","")&amp;IF(AND(P83="Fixed amount",O83&lt;&gt;"",N(Q83)&gt;N(O83)),"discount over price, ",""),LEN(IF(E83="","description, ","")&amp;IF(AND(O83="",COUNTIFS(Variants!$A$3:$A$1502,A83,Variants!$K$3:$K$1502,"&lt;&gt;")=0),"price, ","")&amp;IF(T83="","image, ","")&amp;IF(B83="","category, ","")&amp;IF(N(AB83)=0,"variant, ","")&amp;IF(AND(P83="Percentage",N(Q83)&gt;100),"discount over 100%, ","")&amp;IF(AND(P83="Fixed amount",O83&lt;&gt;"",N(Q83)&gt;N(O83)),"discount over price, ",""))-2)))</f>
        <v/>
      </c>
    </row>
    <row r="84" spans="1:29" x14ac:dyDescent="0.3">
      <c r="A84" s="16"/>
      <c r="B84" s="16"/>
      <c r="C84" s="16"/>
      <c r="D84" s="17"/>
      <c r="E84" s="17"/>
      <c r="F84" s="16"/>
      <c r="G84" s="16"/>
      <c r="H84" s="16"/>
      <c r="I84" s="16"/>
      <c r="J84" s="16"/>
      <c r="K84" s="16"/>
      <c r="L84" s="17"/>
      <c r="M84" s="17"/>
      <c r="N84" s="17"/>
      <c r="O84" s="18"/>
      <c r="P84" s="16"/>
      <c r="Q84" s="16"/>
      <c r="R84" s="19" t="str">
        <f t="shared" si="2"/>
        <v/>
      </c>
      <c r="S84" s="19" t="str">
        <f t="shared" si="3"/>
        <v/>
      </c>
      <c r="T84" s="17"/>
      <c r="U84" s="16"/>
      <c r="V84" s="16"/>
      <c r="W84" s="16"/>
      <c r="X84" s="16"/>
      <c r="Y84" s="16"/>
      <c r="Z84" s="16"/>
      <c r="AA84" s="16"/>
      <c r="AB84" s="20" t="str">
        <f>IF(A84="","",COUNTIF(Variants!$A$3:$A$1502,A84))</f>
        <v/>
      </c>
      <c r="AC84" s="21" t="str">
        <f>IF(A84="","",IF(IF(E84="","description, ","")&amp;IF(AND(O84="",COUNTIFS(Variants!$A$3:$A$1502,A84,Variants!$K$3:$K$1502,"&lt;&gt;")=0),"price, ","")&amp;IF(T84="","image, ","")&amp;IF(B84="","category, ","")&amp;IF(N(AB84)=0,"variant, ","")&amp;IF(AND(P84="Percentage",N(Q84)&gt;100),"discount over 100%, ","")&amp;IF(AND(P84="Fixed amount",O84&lt;&gt;"",N(Q84)&gt;N(O84)),"discount over price, ","")="","Ready","Missing: "&amp;LEFT(IF(E84="","description, ","")&amp;IF(AND(O84="",COUNTIFS(Variants!$A$3:$A$1502,A84,Variants!$K$3:$K$1502,"&lt;&gt;")=0),"price, ","")&amp;IF(T84="","image, ","")&amp;IF(B84="","category, ","")&amp;IF(N(AB84)=0,"variant, ","")&amp;IF(AND(P84="Percentage",N(Q84)&gt;100),"discount over 100%, ","")&amp;IF(AND(P84="Fixed amount",O84&lt;&gt;"",N(Q84)&gt;N(O84)),"discount over price, ",""),LEN(IF(E84="","description, ","")&amp;IF(AND(O84="",COUNTIFS(Variants!$A$3:$A$1502,A84,Variants!$K$3:$K$1502,"&lt;&gt;")=0),"price, ","")&amp;IF(T84="","image, ","")&amp;IF(B84="","category, ","")&amp;IF(N(AB84)=0,"variant, ","")&amp;IF(AND(P84="Percentage",N(Q84)&gt;100),"discount over 100%, ","")&amp;IF(AND(P84="Fixed amount",O84&lt;&gt;"",N(Q84)&gt;N(O84)),"discount over price, ",""))-2)))</f>
        <v/>
      </c>
    </row>
    <row r="85" spans="1:29" x14ac:dyDescent="0.3">
      <c r="A85" s="16"/>
      <c r="B85" s="16"/>
      <c r="C85" s="16"/>
      <c r="D85" s="17"/>
      <c r="E85" s="17"/>
      <c r="F85" s="16"/>
      <c r="G85" s="16"/>
      <c r="H85" s="16"/>
      <c r="I85" s="16"/>
      <c r="J85" s="16"/>
      <c r="K85" s="16"/>
      <c r="L85" s="17"/>
      <c r="M85" s="17"/>
      <c r="N85" s="17"/>
      <c r="O85" s="18"/>
      <c r="P85" s="16"/>
      <c r="Q85" s="16"/>
      <c r="R85" s="19" t="str">
        <f t="shared" si="2"/>
        <v/>
      </c>
      <c r="S85" s="19" t="str">
        <f t="shared" si="3"/>
        <v/>
      </c>
      <c r="T85" s="17"/>
      <c r="U85" s="16"/>
      <c r="V85" s="16"/>
      <c r="W85" s="16"/>
      <c r="X85" s="16"/>
      <c r="Y85" s="16"/>
      <c r="Z85" s="16"/>
      <c r="AA85" s="16"/>
      <c r="AB85" s="20" t="str">
        <f>IF(A85="","",COUNTIF(Variants!$A$3:$A$1502,A85))</f>
        <v/>
      </c>
      <c r="AC85" s="21" t="str">
        <f>IF(A85="","",IF(IF(E85="","description, ","")&amp;IF(AND(O85="",COUNTIFS(Variants!$A$3:$A$1502,A85,Variants!$K$3:$K$1502,"&lt;&gt;")=0),"price, ","")&amp;IF(T85="","image, ","")&amp;IF(B85="","category, ","")&amp;IF(N(AB85)=0,"variant, ","")&amp;IF(AND(P85="Percentage",N(Q85)&gt;100),"discount over 100%, ","")&amp;IF(AND(P85="Fixed amount",O85&lt;&gt;"",N(Q85)&gt;N(O85)),"discount over price, ","")="","Ready","Missing: "&amp;LEFT(IF(E85="","description, ","")&amp;IF(AND(O85="",COUNTIFS(Variants!$A$3:$A$1502,A85,Variants!$K$3:$K$1502,"&lt;&gt;")=0),"price, ","")&amp;IF(T85="","image, ","")&amp;IF(B85="","category, ","")&amp;IF(N(AB85)=0,"variant, ","")&amp;IF(AND(P85="Percentage",N(Q85)&gt;100),"discount over 100%, ","")&amp;IF(AND(P85="Fixed amount",O85&lt;&gt;"",N(Q85)&gt;N(O85)),"discount over price, ",""),LEN(IF(E85="","description, ","")&amp;IF(AND(O85="",COUNTIFS(Variants!$A$3:$A$1502,A85,Variants!$K$3:$K$1502,"&lt;&gt;")=0),"price, ","")&amp;IF(T85="","image, ","")&amp;IF(B85="","category, ","")&amp;IF(N(AB85)=0,"variant, ","")&amp;IF(AND(P85="Percentage",N(Q85)&gt;100),"discount over 100%, ","")&amp;IF(AND(P85="Fixed amount",O85&lt;&gt;"",N(Q85)&gt;N(O85)),"discount over price, ",""))-2)))</f>
        <v/>
      </c>
    </row>
    <row r="86" spans="1:29" x14ac:dyDescent="0.3">
      <c r="A86" s="16"/>
      <c r="B86" s="16"/>
      <c r="C86" s="16"/>
      <c r="D86" s="17"/>
      <c r="E86" s="17"/>
      <c r="F86" s="16"/>
      <c r="G86" s="16"/>
      <c r="H86" s="16"/>
      <c r="I86" s="16"/>
      <c r="J86" s="16"/>
      <c r="K86" s="16"/>
      <c r="L86" s="17"/>
      <c r="M86" s="17"/>
      <c r="N86" s="17"/>
      <c r="O86" s="18"/>
      <c r="P86" s="16"/>
      <c r="Q86" s="16"/>
      <c r="R86" s="19" t="str">
        <f t="shared" si="2"/>
        <v/>
      </c>
      <c r="S86" s="19" t="str">
        <f t="shared" si="3"/>
        <v/>
      </c>
      <c r="T86" s="17"/>
      <c r="U86" s="16"/>
      <c r="V86" s="16"/>
      <c r="W86" s="16"/>
      <c r="X86" s="16"/>
      <c r="Y86" s="16"/>
      <c r="Z86" s="16"/>
      <c r="AA86" s="16"/>
      <c r="AB86" s="20" t="str">
        <f>IF(A86="","",COUNTIF(Variants!$A$3:$A$1502,A86))</f>
        <v/>
      </c>
      <c r="AC86" s="21" t="str">
        <f>IF(A86="","",IF(IF(E86="","description, ","")&amp;IF(AND(O86="",COUNTIFS(Variants!$A$3:$A$1502,A86,Variants!$K$3:$K$1502,"&lt;&gt;")=0),"price, ","")&amp;IF(T86="","image, ","")&amp;IF(B86="","category, ","")&amp;IF(N(AB86)=0,"variant, ","")&amp;IF(AND(P86="Percentage",N(Q86)&gt;100),"discount over 100%, ","")&amp;IF(AND(P86="Fixed amount",O86&lt;&gt;"",N(Q86)&gt;N(O86)),"discount over price, ","")="","Ready","Missing: "&amp;LEFT(IF(E86="","description, ","")&amp;IF(AND(O86="",COUNTIFS(Variants!$A$3:$A$1502,A86,Variants!$K$3:$K$1502,"&lt;&gt;")=0),"price, ","")&amp;IF(T86="","image, ","")&amp;IF(B86="","category, ","")&amp;IF(N(AB86)=0,"variant, ","")&amp;IF(AND(P86="Percentage",N(Q86)&gt;100),"discount over 100%, ","")&amp;IF(AND(P86="Fixed amount",O86&lt;&gt;"",N(Q86)&gt;N(O86)),"discount over price, ",""),LEN(IF(E86="","description, ","")&amp;IF(AND(O86="",COUNTIFS(Variants!$A$3:$A$1502,A86,Variants!$K$3:$K$1502,"&lt;&gt;")=0),"price, ","")&amp;IF(T86="","image, ","")&amp;IF(B86="","category, ","")&amp;IF(N(AB86)=0,"variant, ","")&amp;IF(AND(P86="Percentage",N(Q86)&gt;100),"discount over 100%, ","")&amp;IF(AND(P86="Fixed amount",O86&lt;&gt;"",N(Q86)&gt;N(O86)),"discount over price, ",""))-2)))</f>
        <v/>
      </c>
    </row>
    <row r="87" spans="1:29" x14ac:dyDescent="0.3">
      <c r="A87" s="16"/>
      <c r="B87" s="16"/>
      <c r="C87" s="16"/>
      <c r="D87" s="17"/>
      <c r="E87" s="17"/>
      <c r="F87" s="16"/>
      <c r="G87" s="16"/>
      <c r="H87" s="16"/>
      <c r="I87" s="16"/>
      <c r="J87" s="16"/>
      <c r="K87" s="16"/>
      <c r="L87" s="17"/>
      <c r="M87" s="17"/>
      <c r="N87" s="17"/>
      <c r="O87" s="18"/>
      <c r="P87" s="16"/>
      <c r="Q87" s="16"/>
      <c r="R87" s="19" t="str">
        <f t="shared" si="2"/>
        <v/>
      </c>
      <c r="S87" s="19" t="str">
        <f t="shared" si="3"/>
        <v/>
      </c>
      <c r="T87" s="17"/>
      <c r="U87" s="16"/>
      <c r="V87" s="16"/>
      <c r="W87" s="16"/>
      <c r="X87" s="16"/>
      <c r="Y87" s="16"/>
      <c r="Z87" s="16"/>
      <c r="AA87" s="16"/>
      <c r="AB87" s="20" t="str">
        <f>IF(A87="","",COUNTIF(Variants!$A$3:$A$1502,A87))</f>
        <v/>
      </c>
      <c r="AC87" s="21" t="str">
        <f>IF(A87="","",IF(IF(E87="","description, ","")&amp;IF(AND(O87="",COUNTIFS(Variants!$A$3:$A$1502,A87,Variants!$K$3:$K$1502,"&lt;&gt;")=0),"price, ","")&amp;IF(T87="","image, ","")&amp;IF(B87="","category, ","")&amp;IF(N(AB87)=0,"variant, ","")&amp;IF(AND(P87="Percentage",N(Q87)&gt;100),"discount over 100%, ","")&amp;IF(AND(P87="Fixed amount",O87&lt;&gt;"",N(Q87)&gt;N(O87)),"discount over price, ","")="","Ready","Missing: "&amp;LEFT(IF(E87="","description, ","")&amp;IF(AND(O87="",COUNTIFS(Variants!$A$3:$A$1502,A87,Variants!$K$3:$K$1502,"&lt;&gt;")=0),"price, ","")&amp;IF(T87="","image, ","")&amp;IF(B87="","category, ","")&amp;IF(N(AB87)=0,"variant, ","")&amp;IF(AND(P87="Percentage",N(Q87)&gt;100),"discount over 100%, ","")&amp;IF(AND(P87="Fixed amount",O87&lt;&gt;"",N(Q87)&gt;N(O87)),"discount over price, ",""),LEN(IF(E87="","description, ","")&amp;IF(AND(O87="",COUNTIFS(Variants!$A$3:$A$1502,A87,Variants!$K$3:$K$1502,"&lt;&gt;")=0),"price, ","")&amp;IF(T87="","image, ","")&amp;IF(B87="","category, ","")&amp;IF(N(AB87)=0,"variant, ","")&amp;IF(AND(P87="Percentage",N(Q87)&gt;100),"discount over 100%, ","")&amp;IF(AND(P87="Fixed amount",O87&lt;&gt;"",N(Q87)&gt;N(O87)),"discount over price, ",""))-2)))</f>
        <v/>
      </c>
    </row>
    <row r="88" spans="1:29" x14ac:dyDescent="0.3">
      <c r="A88" s="16"/>
      <c r="B88" s="16"/>
      <c r="C88" s="16"/>
      <c r="D88" s="17"/>
      <c r="E88" s="17"/>
      <c r="F88" s="16"/>
      <c r="G88" s="16"/>
      <c r="H88" s="16"/>
      <c r="I88" s="16"/>
      <c r="J88" s="16"/>
      <c r="K88" s="16"/>
      <c r="L88" s="17"/>
      <c r="M88" s="17"/>
      <c r="N88" s="17"/>
      <c r="O88" s="18"/>
      <c r="P88" s="16"/>
      <c r="Q88" s="16"/>
      <c r="R88" s="19" t="str">
        <f t="shared" si="2"/>
        <v/>
      </c>
      <c r="S88" s="19" t="str">
        <f t="shared" si="3"/>
        <v/>
      </c>
      <c r="T88" s="17"/>
      <c r="U88" s="16"/>
      <c r="V88" s="16"/>
      <c r="W88" s="16"/>
      <c r="X88" s="16"/>
      <c r="Y88" s="16"/>
      <c r="Z88" s="16"/>
      <c r="AA88" s="16"/>
      <c r="AB88" s="20" t="str">
        <f>IF(A88="","",COUNTIF(Variants!$A$3:$A$1502,A88))</f>
        <v/>
      </c>
      <c r="AC88" s="21" t="str">
        <f>IF(A88="","",IF(IF(E88="","description, ","")&amp;IF(AND(O88="",COUNTIFS(Variants!$A$3:$A$1502,A88,Variants!$K$3:$K$1502,"&lt;&gt;")=0),"price, ","")&amp;IF(T88="","image, ","")&amp;IF(B88="","category, ","")&amp;IF(N(AB88)=0,"variant, ","")&amp;IF(AND(P88="Percentage",N(Q88)&gt;100),"discount over 100%, ","")&amp;IF(AND(P88="Fixed amount",O88&lt;&gt;"",N(Q88)&gt;N(O88)),"discount over price, ","")="","Ready","Missing: "&amp;LEFT(IF(E88="","description, ","")&amp;IF(AND(O88="",COUNTIFS(Variants!$A$3:$A$1502,A88,Variants!$K$3:$K$1502,"&lt;&gt;")=0),"price, ","")&amp;IF(T88="","image, ","")&amp;IF(B88="","category, ","")&amp;IF(N(AB88)=0,"variant, ","")&amp;IF(AND(P88="Percentage",N(Q88)&gt;100),"discount over 100%, ","")&amp;IF(AND(P88="Fixed amount",O88&lt;&gt;"",N(Q88)&gt;N(O88)),"discount over price, ",""),LEN(IF(E88="","description, ","")&amp;IF(AND(O88="",COUNTIFS(Variants!$A$3:$A$1502,A88,Variants!$K$3:$K$1502,"&lt;&gt;")=0),"price, ","")&amp;IF(T88="","image, ","")&amp;IF(B88="","category, ","")&amp;IF(N(AB88)=0,"variant, ","")&amp;IF(AND(P88="Percentage",N(Q88)&gt;100),"discount over 100%, ","")&amp;IF(AND(P88="Fixed amount",O88&lt;&gt;"",N(Q88)&gt;N(O88)),"discount over price, ",""))-2)))</f>
        <v/>
      </c>
    </row>
    <row r="89" spans="1:29" x14ac:dyDescent="0.3">
      <c r="A89" s="16"/>
      <c r="B89" s="16"/>
      <c r="C89" s="16"/>
      <c r="D89" s="17"/>
      <c r="E89" s="17"/>
      <c r="F89" s="16"/>
      <c r="G89" s="16"/>
      <c r="H89" s="16"/>
      <c r="I89" s="16"/>
      <c r="J89" s="16"/>
      <c r="K89" s="16"/>
      <c r="L89" s="17"/>
      <c r="M89" s="17"/>
      <c r="N89" s="17"/>
      <c r="O89" s="18"/>
      <c r="P89" s="16"/>
      <c r="Q89" s="16"/>
      <c r="R89" s="19" t="str">
        <f t="shared" si="2"/>
        <v/>
      </c>
      <c r="S89" s="19" t="str">
        <f t="shared" si="3"/>
        <v/>
      </c>
      <c r="T89" s="17"/>
      <c r="U89" s="16"/>
      <c r="V89" s="16"/>
      <c r="W89" s="16"/>
      <c r="X89" s="16"/>
      <c r="Y89" s="16"/>
      <c r="Z89" s="16"/>
      <c r="AA89" s="16"/>
      <c r="AB89" s="20" t="str">
        <f>IF(A89="","",COUNTIF(Variants!$A$3:$A$1502,A89))</f>
        <v/>
      </c>
      <c r="AC89" s="21" t="str">
        <f>IF(A89="","",IF(IF(E89="","description, ","")&amp;IF(AND(O89="",COUNTIFS(Variants!$A$3:$A$1502,A89,Variants!$K$3:$K$1502,"&lt;&gt;")=0),"price, ","")&amp;IF(T89="","image, ","")&amp;IF(B89="","category, ","")&amp;IF(N(AB89)=0,"variant, ","")&amp;IF(AND(P89="Percentage",N(Q89)&gt;100),"discount over 100%, ","")&amp;IF(AND(P89="Fixed amount",O89&lt;&gt;"",N(Q89)&gt;N(O89)),"discount over price, ","")="","Ready","Missing: "&amp;LEFT(IF(E89="","description, ","")&amp;IF(AND(O89="",COUNTIFS(Variants!$A$3:$A$1502,A89,Variants!$K$3:$K$1502,"&lt;&gt;")=0),"price, ","")&amp;IF(T89="","image, ","")&amp;IF(B89="","category, ","")&amp;IF(N(AB89)=0,"variant, ","")&amp;IF(AND(P89="Percentage",N(Q89)&gt;100),"discount over 100%, ","")&amp;IF(AND(P89="Fixed amount",O89&lt;&gt;"",N(Q89)&gt;N(O89)),"discount over price, ",""),LEN(IF(E89="","description, ","")&amp;IF(AND(O89="",COUNTIFS(Variants!$A$3:$A$1502,A89,Variants!$K$3:$K$1502,"&lt;&gt;")=0),"price, ","")&amp;IF(T89="","image, ","")&amp;IF(B89="","category, ","")&amp;IF(N(AB89)=0,"variant, ","")&amp;IF(AND(P89="Percentage",N(Q89)&gt;100),"discount over 100%, ","")&amp;IF(AND(P89="Fixed amount",O89&lt;&gt;"",N(Q89)&gt;N(O89)),"discount over price, ",""))-2)))</f>
        <v/>
      </c>
    </row>
    <row r="90" spans="1:29" x14ac:dyDescent="0.3">
      <c r="A90" s="16"/>
      <c r="B90" s="16"/>
      <c r="C90" s="16"/>
      <c r="D90" s="17"/>
      <c r="E90" s="17"/>
      <c r="F90" s="16"/>
      <c r="G90" s="16"/>
      <c r="H90" s="16"/>
      <c r="I90" s="16"/>
      <c r="J90" s="16"/>
      <c r="K90" s="16"/>
      <c r="L90" s="17"/>
      <c r="M90" s="17"/>
      <c r="N90" s="17"/>
      <c r="O90" s="18"/>
      <c r="P90" s="16"/>
      <c r="Q90" s="16"/>
      <c r="R90" s="19" t="str">
        <f t="shared" si="2"/>
        <v/>
      </c>
      <c r="S90" s="19" t="str">
        <f t="shared" si="3"/>
        <v/>
      </c>
      <c r="T90" s="17"/>
      <c r="U90" s="16"/>
      <c r="V90" s="16"/>
      <c r="W90" s="16"/>
      <c r="X90" s="16"/>
      <c r="Y90" s="16"/>
      <c r="Z90" s="16"/>
      <c r="AA90" s="16"/>
      <c r="AB90" s="20" t="str">
        <f>IF(A90="","",COUNTIF(Variants!$A$3:$A$1502,A90))</f>
        <v/>
      </c>
      <c r="AC90" s="21" t="str">
        <f>IF(A90="","",IF(IF(E90="","description, ","")&amp;IF(AND(O90="",COUNTIFS(Variants!$A$3:$A$1502,A90,Variants!$K$3:$K$1502,"&lt;&gt;")=0),"price, ","")&amp;IF(T90="","image, ","")&amp;IF(B90="","category, ","")&amp;IF(N(AB90)=0,"variant, ","")&amp;IF(AND(P90="Percentage",N(Q90)&gt;100),"discount over 100%, ","")&amp;IF(AND(P90="Fixed amount",O90&lt;&gt;"",N(Q90)&gt;N(O90)),"discount over price, ","")="","Ready","Missing: "&amp;LEFT(IF(E90="","description, ","")&amp;IF(AND(O90="",COUNTIFS(Variants!$A$3:$A$1502,A90,Variants!$K$3:$K$1502,"&lt;&gt;")=0),"price, ","")&amp;IF(T90="","image, ","")&amp;IF(B90="","category, ","")&amp;IF(N(AB90)=0,"variant, ","")&amp;IF(AND(P90="Percentage",N(Q90)&gt;100),"discount over 100%, ","")&amp;IF(AND(P90="Fixed amount",O90&lt;&gt;"",N(Q90)&gt;N(O90)),"discount over price, ",""),LEN(IF(E90="","description, ","")&amp;IF(AND(O90="",COUNTIFS(Variants!$A$3:$A$1502,A90,Variants!$K$3:$K$1502,"&lt;&gt;")=0),"price, ","")&amp;IF(T90="","image, ","")&amp;IF(B90="","category, ","")&amp;IF(N(AB90)=0,"variant, ","")&amp;IF(AND(P90="Percentage",N(Q90)&gt;100),"discount over 100%, ","")&amp;IF(AND(P90="Fixed amount",O90&lt;&gt;"",N(Q90)&gt;N(O90)),"discount over price, ",""))-2)))</f>
        <v/>
      </c>
    </row>
    <row r="91" spans="1:29" x14ac:dyDescent="0.3">
      <c r="A91" s="16"/>
      <c r="B91" s="16"/>
      <c r="C91" s="16"/>
      <c r="D91" s="17"/>
      <c r="E91" s="17"/>
      <c r="F91" s="16"/>
      <c r="G91" s="16"/>
      <c r="H91" s="16"/>
      <c r="I91" s="16"/>
      <c r="J91" s="16"/>
      <c r="K91" s="16"/>
      <c r="L91" s="17"/>
      <c r="M91" s="17"/>
      <c r="N91" s="17"/>
      <c r="O91" s="18"/>
      <c r="P91" s="16"/>
      <c r="Q91" s="16"/>
      <c r="R91" s="19" t="str">
        <f t="shared" si="2"/>
        <v/>
      </c>
      <c r="S91" s="19" t="str">
        <f t="shared" si="3"/>
        <v/>
      </c>
      <c r="T91" s="17"/>
      <c r="U91" s="16"/>
      <c r="V91" s="16"/>
      <c r="W91" s="16"/>
      <c r="X91" s="16"/>
      <c r="Y91" s="16"/>
      <c r="Z91" s="16"/>
      <c r="AA91" s="16"/>
      <c r="AB91" s="20" t="str">
        <f>IF(A91="","",COUNTIF(Variants!$A$3:$A$1502,A91))</f>
        <v/>
      </c>
      <c r="AC91" s="21" t="str">
        <f>IF(A91="","",IF(IF(E91="","description, ","")&amp;IF(AND(O91="",COUNTIFS(Variants!$A$3:$A$1502,A91,Variants!$K$3:$K$1502,"&lt;&gt;")=0),"price, ","")&amp;IF(T91="","image, ","")&amp;IF(B91="","category, ","")&amp;IF(N(AB91)=0,"variant, ","")&amp;IF(AND(P91="Percentage",N(Q91)&gt;100),"discount over 100%, ","")&amp;IF(AND(P91="Fixed amount",O91&lt;&gt;"",N(Q91)&gt;N(O91)),"discount over price, ","")="","Ready","Missing: "&amp;LEFT(IF(E91="","description, ","")&amp;IF(AND(O91="",COUNTIFS(Variants!$A$3:$A$1502,A91,Variants!$K$3:$K$1502,"&lt;&gt;")=0),"price, ","")&amp;IF(T91="","image, ","")&amp;IF(B91="","category, ","")&amp;IF(N(AB91)=0,"variant, ","")&amp;IF(AND(P91="Percentage",N(Q91)&gt;100),"discount over 100%, ","")&amp;IF(AND(P91="Fixed amount",O91&lt;&gt;"",N(Q91)&gt;N(O91)),"discount over price, ",""),LEN(IF(E91="","description, ","")&amp;IF(AND(O91="",COUNTIFS(Variants!$A$3:$A$1502,A91,Variants!$K$3:$K$1502,"&lt;&gt;")=0),"price, ","")&amp;IF(T91="","image, ","")&amp;IF(B91="","category, ","")&amp;IF(N(AB91)=0,"variant, ","")&amp;IF(AND(P91="Percentage",N(Q91)&gt;100),"discount over 100%, ","")&amp;IF(AND(P91="Fixed amount",O91&lt;&gt;"",N(Q91)&gt;N(O91)),"discount over price, ",""))-2)))</f>
        <v/>
      </c>
    </row>
    <row r="92" spans="1:29" x14ac:dyDescent="0.3">
      <c r="A92" s="16"/>
      <c r="B92" s="16"/>
      <c r="C92" s="16"/>
      <c r="D92" s="17"/>
      <c r="E92" s="17"/>
      <c r="F92" s="16"/>
      <c r="G92" s="16"/>
      <c r="H92" s="16"/>
      <c r="I92" s="16"/>
      <c r="J92" s="16"/>
      <c r="K92" s="16"/>
      <c r="L92" s="17"/>
      <c r="M92" s="17"/>
      <c r="N92" s="17"/>
      <c r="O92" s="18"/>
      <c r="P92" s="16"/>
      <c r="Q92" s="16"/>
      <c r="R92" s="19" t="str">
        <f t="shared" si="2"/>
        <v/>
      </c>
      <c r="S92" s="19" t="str">
        <f t="shared" si="3"/>
        <v/>
      </c>
      <c r="T92" s="17"/>
      <c r="U92" s="16"/>
      <c r="V92" s="16"/>
      <c r="W92" s="16"/>
      <c r="X92" s="16"/>
      <c r="Y92" s="16"/>
      <c r="Z92" s="16"/>
      <c r="AA92" s="16"/>
      <c r="AB92" s="20" t="str">
        <f>IF(A92="","",COUNTIF(Variants!$A$3:$A$1502,A92))</f>
        <v/>
      </c>
      <c r="AC92" s="21" t="str">
        <f>IF(A92="","",IF(IF(E92="","description, ","")&amp;IF(AND(O92="",COUNTIFS(Variants!$A$3:$A$1502,A92,Variants!$K$3:$K$1502,"&lt;&gt;")=0),"price, ","")&amp;IF(T92="","image, ","")&amp;IF(B92="","category, ","")&amp;IF(N(AB92)=0,"variant, ","")&amp;IF(AND(P92="Percentage",N(Q92)&gt;100),"discount over 100%, ","")&amp;IF(AND(P92="Fixed amount",O92&lt;&gt;"",N(Q92)&gt;N(O92)),"discount over price, ","")="","Ready","Missing: "&amp;LEFT(IF(E92="","description, ","")&amp;IF(AND(O92="",COUNTIFS(Variants!$A$3:$A$1502,A92,Variants!$K$3:$K$1502,"&lt;&gt;")=0),"price, ","")&amp;IF(T92="","image, ","")&amp;IF(B92="","category, ","")&amp;IF(N(AB92)=0,"variant, ","")&amp;IF(AND(P92="Percentage",N(Q92)&gt;100),"discount over 100%, ","")&amp;IF(AND(P92="Fixed amount",O92&lt;&gt;"",N(Q92)&gt;N(O92)),"discount over price, ",""),LEN(IF(E92="","description, ","")&amp;IF(AND(O92="",COUNTIFS(Variants!$A$3:$A$1502,A92,Variants!$K$3:$K$1502,"&lt;&gt;")=0),"price, ","")&amp;IF(T92="","image, ","")&amp;IF(B92="","category, ","")&amp;IF(N(AB92)=0,"variant, ","")&amp;IF(AND(P92="Percentage",N(Q92)&gt;100),"discount over 100%, ","")&amp;IF(AND(P92="Fixed amount",O92&lt;&gt;"",N(Q92)&gt;N(O92)),"discount over price, ",""))-2)))</f>
        <v/>
      </c>
    </row>
    <row r="93" spans="1:29" x14ac:dyDescent="0.3">
      <c r="A93" s="16"/>
      <c r="B93" s="16"/>
      <c r="C93" s="16"/>
      <c r="D93" s="17"/>
      <c r="E93" s="17"/>
      <c r="F93" s="16"/>
      <c r="G93" s="16"/>
      <c r="H93" s="16"/>
      <c r="I93" s="16"/>
      <c r="J93" s="16"/>
      <c r="K93" s="16"/>
      <c r="L93" s="17"/>
      <c r="M93" s="17"/>
      <c r="N93" s="17"/>
      <c r="O93" s="18"/>
      <c r="P93" s="16"/>
      <c r="Q93" s="16"/>
      <c r="R93" s="19" t="str">
        <f t="shared" si="2"/>
        <v/>
      </c>
      <c r="S93" s="19" t="str">
        <f t="shared" si="3"/>
        <v/>
      </c>
      <c r="T93" s="17"/>
      <c r="U93" s="16"/>
      <c r="V93" s="16"/>
      <c r="W93" s="16"/>
      <c r="X93" s="16"/>
      <c r="Y93" s="16"/>
      <c r="Z93" s="16"/>
      <c r="AA93" s="16"/>
      <c r="AB93" s="20" t="str">
        <f>IF(A93="","",COUNTIF(Variants!$A$3:$A$1502,A93))</f>
        <v/>
      </c>
      <c r="AC93" s="21" t="str">
        <f>IF(A93="","",IF(IF(E93="","description, ","")&amp;IF(AND(O93="",COUNTIFS(Variants!$A$3:$A$1502,A93,Variants!$K$3:$K$1502,"&lt;&gt;")=0),"price, ","")&amp;IF(T93="","image, ","")&amp;IF(B93="","category, ","")&amp;IF(N(AB93)=0,"variant, ","")&amp;IF(AND(P93="Percentage",N(Q93)&gt;100),"discount over 100%, ","")&amp;IF(AND(P93="Fixed amount",O93&lt;&gt;"",N(Q93)&gt;N(O93)),"discount over price, ","")="","Ready","Missing: "&amp;LEFT(IF(E93="","description, ","")&amp;IF(AND(O93="",COUNTIFS(Variants!$A$3:$A$1502,A93,Variants!$K$3:$K$1502,"&lt;&gt;")=0),"price, ","")&amp;IF(T93="","image, ","")&amp;IF(B93="","category, ","")&amp;IF(N(AB93)=0,"variant, ","")&amp;IF(AND(P93="Percentage",N(Q93)&gt;100),"discount over 100%, ","")&amp;IF(AND(P93="Fixed amount",O93&lt;&gt;"",N(Q93)&gt;N(O93)),"discount over price, ",""),LEN(IF(E93="","description, ","")&amp;IF(AND(O93="",COUNTIFS(Variants!$A$3:$A$1502,A93,Variants!$K$3:$K$1502,"&lt;&gt;")=0),"price, ","")&amp;IF(T93="","image, ","")&amp;IF(B93="","category, ","")&amp;IF(N(AB93)=0,"variant, ","")&amp;IF(AND(P93="Percentage",N(Q93)&gt;100),"discount over 100%, ","")&amp;IF(AND(P93="Fixed amount",O93&lt;&gt;"",N(Q93)&gt;N(O93)),"discount over price, ",""))-2)))</f>
        <v/>
      </c>
    </row>
    <row r="94" spans="1:29" x14ac:dyDescent="0.3">
      <c r="A94" s="16"/>
      <c r="B94" s="16"/>
      <c r="C94" s="16"/>
      <c r="D94" s="17"/>
      <c r="E94" s="17"/>
      <c r="F94" s="16"/>
      <c r="G94" s="16"/>
      <c r="H94" s="16"/>
      <c r="I94" s="16"/>
      <c r="J94" s="16"/>
      <c r="K94" s="16"/>
      <c r="L94" s="17"/>
      <c r="M94" s="17"/>
      <c r="N94" s="17"/>
      <c r="O94" s="18"/>
      <c r="P94" s="16"/>
      <c r="Q94" s="16"/>
      <c r="R94" s="19" t="str">
        <f t="shared" si="2"/>
        <v/>
      </c>
      <c r="S94" s="19" t="str">
        <f t="shared" si="3"/>
        <v/>
      </c>
      <c r="T94" s="17"/>
      <c r="U94" s="16"/>
      <c r="V94" s="16"/>
      <c r="W94" s="16"/>
      <c r="X94" s="16"/>
      <c r="Y94" s="16"/>
      <c r="Z94" s="16"/>
      <c r="AA94" s="16"/>
      <c r="AB94" s="20" t="str">
        <f>IF(A94="","",COUNTIF(Variants!$A$3:$A$1502,A94))</f>
        <v/>
      </c>
      <c r="AC94" s="21" t="str">
        <f>IF(A94="","",IF(IF(E94="","description, ","")&amp;IF(AND(O94="",COUNTIFS(Variants!$A$3:$A$1502,A94,Variants!$K$3:$K$1502,"&lt;&gt;")=0),"price, ","")&amp;IF(T94="","image, ","")&amp;IF(B94="","category, ","")&amp;IF(N(AB94)=0,"variant, ","")&amp;IF(AND(P94="Percentage",N(Q94)&gt;100),"discount over 100%, ","")&amp;IF(AND(P94="Fixed amount",O94&lt;&gt;"",N(Q94)&gt;N(O94)),"discount over price, ","")="","Ready","Missing: "&amp;LEFT(IF(E94="","description, ","")&amp;IF(AND(O94="",COUNTIFS(Variants!$A$3:$A$1502,A94,Variants!$K$3:$K$1502,"&lt;&gt;")=0),"price, ","")&amp;IF(T94="","image, ","")&amp;IF(B94="","category, ","")&amp;IF(N(AB94)=0,"variant, ","")&amp;IF(AND(P94="Percentage",N(Q94)&gt;100),"discount over 100%, ","")&amp;IF(AND(P94="Fixed amount",O94&lt;&gt;"",N(Q94)&gt;N(O94)),"discount over price, ",""),LEN(IF(E94="","description, ","")&amp;IF(AND(O94="",COUNTIFS(Variants!$A$3:$A$1502,A94,Variants!$K$3:$K$1502,"&lt;&gt;")=0),"price, ","")&amp;IF(T94="","image, ","")&amp;IF(B94="","category, ","")&amp;IF(N(AB94)=0,"variant, ","")&amp;IF(AND(P94="Percentage",N(Q94)&gt;100),"discount over 100%, ","")&amp;IF(AND(P94="Fixed amount",O94&lt;&gt;"",N(Q94)&gt;N(O94)),"discount over price, ",""))-2)))</f>
        <v/>
      </c>
    </row>
    <row r="95" spans="1:29" x14ac:dyDescent="0.3">
      <c r="A95" s="16"/>
      <c r="B95" s="16"/>
      <c r="C95" s="16"/>
      <c r="D95" s="17"/>
      <c r="E95" s="17"/>
      <c r="F95" s="16"/>
      <c r="G95" s="16"/>
      <c r="H95" s="16"/>
      <c r="I95" s="16"/>
      <c r="J95" s="16"/>
      <c r="K95" s="16"/>
      <c r="L95" s="17"/>
      <c r="M95" s="17"/>
      <c r="N95" s="17"/>
      <c r="O95" s="18"/>
      <c r="P95" s="16"/>
      <c r="Q95" s="16"/>
      <c r="R95" s="19" t="str">
        <f t="shared" si="2"/>
        <v/>
      </c>
      <c r="S95" s="19" t="str">
        <f t="shared" si="3"/>
        <v/>
      </c>
      <c r="T95" s="17"/>
      <c r="U95" s="16"/>
      <c r="V95" s="16"/>
      <c r="W95" s="16"/>
      <c r="X95" s="16"/>
      <c r="Y95" s="16"/>
      <c r="Z95" s="16"/>
      <c r="AA95" s="16"/>
      <c r="AB95" s="20" t="str">
        <f>IF(A95="","",COUNTIF(Variants!$A$3:$A$1502,A95))</f>
        <v/>
      </c>
      <c r="AC95" s="21" t="str">
        <f>IF(A95="","",IF(IF(E95="","description, ","")&amp;IF(AND(O95="",COUNTIFS(Variants!$A$3:$A$1502,A95,Variants!$K$3:$K$1502,"&lt;&gt;")=0),"price, ","")&amp;IF(T95="","image, ","")&amp;IF(B95="","category, ","")&amp;IF(N(AB95)=0,"variant, ","")&amp;IF(AND(P95="Percentage",N(Q95)&gt;100),"discount over 100%, ","")&amp;IF(AND(P95="Fixed amount",O95&lt;&gt;"",N(Q95)&gt;N(O95)),"discount over price, ","")="","Ready","Missing: "&amp;LEFT(IF(E95="","description, ","")&amp;IF(AND(O95="",COUNTIFS(Variants!$A$3:$A$1502,A95,Variants!$K$3:$K$1502,"&lt;&gt;")=0),"price, ","")&amp;IF(T95="","image, ","")&amp;IF(B95="","category, ","")&amp;IF(N(AB95)=0,"variant, ","")&amp;IF(AND(P95="Percentage",N(Q95)&gt;100),"discount over 100%, ","")&amp;IF(AND(P95="Fixed amount",O95&lt;&gt;"",N(Q95)&gt;N(O95)),"discount over price, ",""),LEN(IF(E95="","description, ","")&amp;IF(AND(O95="",COUNTIFS(Variants!$A$3:$A$1502,A95,Variants!$K$3:$K$1502,"&lt;&gt;")=0),"price, ","")&amp;IF(T95="","image, ","")&amp;IF(B95="","category, ","")&amp;IF(N(AB95)=0,"variant, ","")&amp;IF(AND(P95="Percentage",N(Q95)&gt;100),"discount over 100%, ","")&amp;IF(AND(P95="Fixed amount",O95&lt;&gt;"",N(Q95)&gt;N(O95)),"discount over price, ",""))-2)))</f>
        <v/>
      </c>
    </row>
    <row r="96" spans="1:29" x14ac:dyDescent="0.3">
      <c r="A96" s="16"/>
      <c r="B96" s="16"/>
      <c r="C96" s="16"/>
      <c r="D96" s="17"/>
      <c r="E96" s="17"/>
      <c r="F96" s="16"/>
      <c r="G96" s="16"/>
      <c r="H96" s="16"/>
      <c r="I96" s="16"/>
      <c r="J96" s="16"/>
      <c r="K96" s="16"/>
      <c r="L96" s="17"/>
      <c r="M96" s="17"/>
      <c r="N96" s="17"/>
      <c r="O96" s="18"/>
      <c r="P96" s="16"/>
      <c r="Q96" s="16"/>
      <c r="R96" s="19" t="str">
        <f t="shared" si="2"/>
        <v/>
      </c>
      <c r="S96" s="19" t="str">
        <f t="shared" si="3"/>
        <v/>
      </c>
      <c r="T96" s="17"/>
      <c r="U96" s="16"/>
      <c r="V96" s="16"/>
      <c r="W96" s="16"/>
      <c r="X96" s="16"/>
      <c r="Y96" s="16"/>
      <c r="Z96" s="16"/>
      <c r="AA96" s="16"/>
      <c r="AB96" s="20" t="str">
        <f>IF(A96="","",COUNTIF(Variants!$A$3:$A$1502,A96))</f>
        <v/>
      </c>
      <c r="AC96" s="21" t="str">
        <f>IF(A96="","",IF(IF(E96="","description, ","")&amp;IF(AND(O96="",COUNTIFS(Variants!$A$3:$A$1502,A96,Variants!$K$3:$K$1502,"&lt;&gt;")=0),"price, ","")&amp;IF(T96="","image, ","")&amp;IF(B96="","category, ","")&amp;IF(N(AB96)=0,"variant, ","")&amp;IF(AND(P96="Percentage",N(Q96)&gt;100),"discount over 100%, ","")&amp;IF(AND(P96="Fixed amount",O96&lt;&gt;"",N(Q96)&gt;N(O96)),"discount over price, ","")="","Ready","Missing: "&amp;LEFT(IF(E96="","description, ","")&amp;IF(AND(O96="",COUNTIFS(Variants!$A$3:$A$1502,A96,Variants!$K$3:$K$1502,"&lt;&gt;")=0),"price, ","")&amp;IF(T96="","image, ","")&amp;IF(B96="","category, ","")&amp;IF(N(AB96)=0,"variant, ","")&amp;IF(AND(P96="Percentage",N(Q96)&gt;100),"discount over 100%, ","")&amp;IF(AND(P96="Fixed amount",O96&lt;&gt;"",N(Q96)&gt;N(O96)),"discount over price, ",""),LEN(IF(E96="","description, ","")&amp;IF(AND(O96="",COUNTIFS(Variants!$A$3:$A$1502,A96,Variants!$K$3:$K$1502,"&lt;&gt;")=0),"price, ","")&amp;IF(T96="","image, ","")&amp;IF(B96="","category, ","")&amp;IF(N(AB96)=0,"variant, ","")&amp;IF(AND(P96="Percentage",N(Q96)&gt;100),"discount over 100%, ","")&amp;IF(AND(P96="Fixed amount",O96&lt;&gt;"",N(Q96)&gt;N(O96)),"discount over price, ",""))-2)))</f>
        <v/>
      </c>
    </row>
    <row r="97" spans="1:29" x14ac:dyDescent="0.3">
      <c r="A97" s="16"/>
      <c r="B97" s="16"/>
      <c r="C97" s="16"/>
      <c r="D97" s="17"/>
      <c r="E97" s="17"/>
      <c r="F97" s="16"/>
      <c r="G97" s="16"/>
      <c r="H97" s="16"/>
      <c r="I97" s="16"/>
      <c r="J97" s="16"/>
      <c r="K97" s="16"/>
      <c r="L97" s="17"/>
      <c r="M97" s="17"/>
      <c r="N97" s="17"/>
      <c r="O97" s="18"/>
      <c r="P97" s="16"/>
      <c r="Q97" s="16"/>
      <c r="R97" s="19" t="str">
        <f t="shared" si="2"/>
        <v/>
      </c>
      <c r="S97" s="19" t="str">
        <f t="shared" si="3"/>
        <v/>
      </c>
      <c r="T97" s="17"/>
      <c r="U97" s="16"/>
      <c r="V97" s="16"/>
      <c r="W97" s="16"/>
      <c r="X97" s="16"/>
      <c r="Y97" s="16"/>
      <c r="Z97" s="16"/>
      <c r="AA97" s="16"/>
      <c r="AB97" s="20" t="str">
        <f>IF(A97="","",COUNTIF(Variants!$A$3:$A$1502,A97))</f>
        <v/>
      </c>
      <c r="AC97" s="21" t="str">
        <f>IF(A97="","",IF(IF(E97="","description, ","")&amp;IF(AND(O97="",COUNTIFS(Variants!$A$3:$A$1502,A97,Variants!$K$3:$K$1502,"&lt;&gt;")=0),"price, ","")&amp;IF(T97="","image, ","")&amp;IF(B97="","category, ","")&amp;IF(N(AB97)=0,"variant, ","")&amp;IF(AND(P97="Percentage",N(Q97)&gt;100),"discount over 100%, ","")&amp;IF(AND(P97="Fixed amount",O97&lt;&gt;"",N(Q97)&gt;N(O97)),"discount over price, ","")="","Ready","Missing: "&amp;LEFT(IF(E97="","description, ","")&amp;IF(AND(O97="",COUNTIFS(Variants!$A$3:$A$1502,A97,Variants!$K$3:$K$1502,"&lt;&gt;")=0),"price, ","")&amp;IF(T97="","image, ","")&amp;IF(B97="","category, ","")&amp;IF(N(AB97)=0,"variant, ","")&amp;IF(AND(P97="Percentage",N(Q97)&gt;100),"discount over 100%, ","")&amp;IF(AND(P97="Fixed amount",O97&lt;&gt;"",N(Q97)&gt;N(O97)),"discount over price, ",""),LEN(IF(E97="","description, ","")&amp;IF(AND(O97="",COUNTIFS(Variants!$A$3:$A$1502,A97,Variants!$K$3:$K$1502,"&lt;&gt;")=0),"price, ","")&amp;IF(T97="","image, ","")&amp;IF(B97="","category, ","")&amp;IF(N(AB97)=0,"variant, ","")&amp;IF(AND(P97="Percentage",N(Q97)&gt;100),"discount over 100%, ","")&amp;IF(AND(P97="Fixed amount",O97&lt;&gt;"",N(Q97)&gt;N(O97)),"discount over price, ",""))-2)))</f>
        <v/>
      </c>
    </row>
    <row r="98" spans="1:29" x14ac:dyDescent="0.3">
      <c r="A98" s="16"/>
      <c r="B98" s="16"/>
      <c r="C98" s="16"/>
      <c r="D98" s="17"/>
      <c r="E98" s="17"/>
      <c r="F98" s="16"/>
      <c r="G98" s="16"/>
      <c r="H98" s="16"/>
      <c r="I98" s="16"/>
      <c r="J98" s="16"/>
      <c r="K98" s="16"/>
      <c r="L98" s="17"/>
      <c r="M98" s="17"/>
      <c r="N98" s="17"/>
      <c r="O98" s="18"/>
      <c r="P98" s="16"/>
      <c r="Q98" s="16"/>
      <c r="R98" s="19" t="str">
        <f t="shared" si="2"/>
        <v/>
      </c>
      <c r="S98" s="19" t="str">
        <f t="shared" si="3"/>
        <v/>
      </c>
      <c r="T98" s="17"/>
      <c r="U98" s="16"/>
      <c r="V98" s="16"/>
      <c r="W98" s="16"/>
      <c r="X98" s="16"/>
      <c r="Y98" s="16"/>
      <c r="Z98" s="16"/>
      <c r="AA98" s="16"/>
      <c r="AB98" s="20" t="str">
        <f>IF(A98="","",COUNTIF(Variants!$A$3:$A$1502,A98))</f>
        <v/>
      </c>
      <c r="AC98" s="21" t="str">
        <f>IF(A98="","",IF(IF(E98="","description, ","")&amp;IF(AND(O98="",COUNTIFS(Variants!$A$3:$A$1502,A98,Variants!$K$3:$K$1502,"&lt;&gt;")=0),"price, ","")&amp;IF(T98="","image, ","")&amp;IF(B98="","category, ","")&amp;IF(N(AB98)=0,"variant, ","")&amp;IF(AND(P98="Percentage",N(Q98)&gt;100),"discount over 100%, ","")&amp;IF(AND(P98="Fixed amount",O98&lt;&gt;"",N(Q98)&gt;N(O98)),"discount over price, ","")="","Ready","Missing: "&amp;LEFT(IF(E98="","description, ","")&amp;IF(AND(O98="",COUNTIFS(Variants!$A$3:$A$1502,A98,Variants!$K$3:$K$1502,"&lt;&gt;")=0),"price, ","")&amp;IF(T98="","image, ","")&amp;IF(B98="","category, ","")&amp;IF(N(AB98)=0,"variant, ","")&amp;IF(AND(P98="Percentage",N(Q98)&gt;100),"discount over 100%, ","")&amp;IF(AND(P98="Fixed amount",O98&lt;&gt;"",N(Q98)&gt;N(O98)),"discount over price, ",""),LEN(IF(E98="","description, ","")&amp;IF(AND(O98="",COUNTIFS(Variants!$A$3:$A$1502,A98,Variants!$K$3:$K$1502,"&lt;&gt;")=0),"price, ","")&amp;IF(T98="","image, ","")&amp;IF(B98="","category, ","")&amp;IF(N(AB98)=0,"variant, ","")&amp;IF(AND(P98="Percentage",N(Q98)&gt;100),"discount over 100%, ","")&amp;IF(AND(P98="Fixed amount",O98&lt;&gt;"",N(Q98)&gt;N(O98)),"discount over price, ",""))-2)))</f>
        <v/>
      </c>
    </row>
    <row r="99" spans="1:29" x14ac:dyDescent="0.3">
      <c r="A99" s="16"/>
      <c r="B99" s="16"/>
      <c r="C99" s="16"/>
      <c r="D99" s="17"/>
      <c r="E99" s="17"/>
      <c r="F99" s="16"/>
      <c r="G99" s="16"/>
      <c r="H99" s="16"/>
      <c r="I99" s="16"/>
      <c r="J99" s="16"/>
      <c r="K99" s="16"/>
      <c r="L99" s="17"/>
      <c r="M99" s="17"/>
      <c r="N99" s="17"/>
      <c r="O99" s="18"/>
      <c r="P99" s="16"/>
      <c r="Q99" s="16"/>
      <c r="R99" s="19" t="str">
        <f t="shared" si="2"/>
        <v/>
      </c>
      <c r="S99" s="19" t="str">
        <f t="shared" si="3"/>
        <v/>
      </c>
      <c r="T99" s="17"/>
      <c r="U99" s="16"/>
      <c r="V99" s="16"/>
      <c r="W99" s="16"/>
      <c r="X99" s="16"/>
      <c r="Y99" s="16"/>
      <c r="Z99" s="16"/>
      <c r="AA99" s="16"/>
      <c r="AB99" s="20" t="str">
        <f>IF(A99="","",COUNTIF(Variants!$A$3:$A$1502,A99))</f>
        <v/>
      </c>
      <c r="AC99" s="21" t="str">
        <f>IF(A99="","",IF(IF(E99="","description, ","")&amp;IF(AND(O99="",COUNTIFS(Variants!$A$3:$A$1502,A99,Variants!$K$3:$K$1502,"&lt;&gt;")=0),"price, ","")&amp;IF(T99="","image, ","")&amp;IF(B99="","category, ","")&amp;IF(N(AB99)=0,"variant, ","")&amp;IF(AND(P99="Percentage",N(Q99)&gt;100),"discount over 100%, ","")&amp;IF(AND(P99="Fixed amount",O99&lt;&gt;"",N(Q99)&gt;N(O99)),"discount over price, ","")="","Ready","Missing: "&amp;LEFT(IF(E99="","description, ","")&amp;IF(AND(O99="",COUNTIFS(Variants!$A$3:$A$1502,A99,Variants!$K$3:$K$1502,"&lt;&gt;")=0),"price, ","")&amp;IF(T99="","image, ","")&amp;IF(B99="","category, ","")&amp;IF(N(AB99)=0,"variant, ","")&amp;IF(AND(P99="Percentage",N(Q99)&gt;100),"discount over 100%, ","")&amp;IF(AND(P99="Fixed amount",O99&lt;&gt;"",N(Q99)&gt;N(O99)),"discount over price, ",""),LEN(IF(E99="","description, ","")&amp;IF(AND(O99="",COUNTIFS(Variants!$A$3:$A$1502,A99,Variants!$K$3:$K$1502,"&lt;&gt;")=0),"price, ","")&amp;IF(T99="","image, ","")&amp;IF(B99="","category, ","")&amp;IF(N(AB99)=0,"variant, ","")&amp;IF(AND(P99="Percentage",N(Q99)&gt;100),"discount over 100%, ","")&amp;IF(AND(P99="Fixed amount",O99&lt;&gt;"",N(Q99)&gt;N(O99)),"discount over price, ",""))-2)))</f>
        <v/>
      </c>
    </row>
    <row r="100" spans="1:29" x14ac:dyDescent="0.3">
      <c r="A100" s="16"/>
      <c r="B100" s="16"/>
      <c r="C100" s="16"/>
      <c r="D100" s="17"/>
      <c r="E100" s="17"/>
      <c r="F100" s="16"/>
      <c r="G100" s="16"/>
      <c r="H100" s="16"/>
      <c r="I100" s="16"/>
      <c r="J100" s="16"/>
      <c r="K100" s="16"/>
      <c r="L100" s="17"/>
      <c r="M100" s="17"/>
      <c r="N100" s="17"/>
      <c r="O100" s="18"/>
      <c r="P100" s="16"/>
      <c r="Q100" s="16"/>
      <c r="R100" s="19" t="str">
        <f t="shared" si="2"/>
        <v/>
      </c>
      <c r="S100" s="19" t="str">
        <f t="shared" si="3"/>
        <v/>
      </c>
      <c r="T100" s="17"/>
      <c r="U100" s="16"/>
      <c r="V100" s="16"/>
      <c r="W100" s="16"/>
      <c r="X100" s="16"/>
      <c r="Y100" s="16"/>
      <c r="Z100" s="16"/>
      <c r="AA100" s="16"/>
      <c r="AB100" s="20" t="str">
        <f>IF(A100="","",COUNTIF(Variants!$A$3:$A$1502,A100))</f>
        <v/>
      </c>
      <c r="AC100" s="21" t="str">
        <f>IF(A100="","",IF(IF(E100="","description, ","")&amp;IF(AND(O100="",COUNTIFS(Variants!$A$3:$A$1502,A100,Variants!$K$3:$K$1502,"&lt;&gt;")=0),"price, ","")&amp;IF(T100="","image, ","")&amp;IF(B100="","category, ","")&amp;IF(N(AB100)=0,"variant, ","")&amp;IF(AND(P100="Percentage",N(Q100)&gt;100),"discount over 100%, ","")&amp;IF(AND(P100="Fixed amount",O100&lt;&gt;"",N(Q100)&gt;N(O100)),"discount over price, ","")="","Ready","Missing: "&amp;LEFT(IF(E100="","description, ","")&amp;IF(AND(O100="",COUNTIFS(Variants!$A$3:$A$1502,A100,Variants!$K$3:$K$1502,"&lt;&gt;")=0),"price, ","")&amp;IF(T100="","image, ","")&amp;IF(B100="","category, ","")&amp;IF(N(AB100)=0,"variant, ","")&amp;IF(AND(P100="Percentage",N(Q100)&gt;100),"discount over 100%, ","")&amp;IF(AND(P100="Fixed amount",O100&lt;&gt;"",N(Q100)&gt;N(O100)),"discount over price, ",""),LEN(IF(E100="","description, ","")&amp;IF(AND(O100="",COUNTIFS(Variants!$A$3:$A$1502,A100,Variants!$K$3:$K$1502,"&lt;&gt;")=0),"price, ","")&amp;IF(T100="","image, ","")&amp;IF(B100="","category, ","")&amp;IF(N(AB100)=0,"variant, ","")&amp;IF(AND(P100="Percentage",N(Q100)&gt;100),"discount over 100%, ","")&amp;IF(AND(P100="Fixed amount",O100&lt;&gt;"",N(Q100)&gt;N(O100)),"discount over price, ",""))-2)))</f>
        <v/>
      </c>
    </row>
    <row r="101" spans="1:29" x14ac:dyDescent="0.3">
      <c r="A101" s="16"/>
      <c r="B101" s="16"/>
      <c r="C101" s="16"/>
      <c r="D101" s="17"/>
      <c r="E101" s="17"/>
      <c r="F101" s="16"/>
      <c r="G101" s="16"/>
      <c r="H101" s="16"/>
      <c r="I101" s="16"/>
      <c r="J101" s="16"/>
      <c r="K101" s="16"/>
      <c r="L101" s="17"/>
      <c r="M101" s="17"/>
      <c r="N101" s="17"/>
      <c r="O101" s="18"/>
      <c r="P101" s="16"/>
      <c r="Q101" s="16"/>
      <c r="R101" s="19" t="str">
        <f t="shared" si="2"/>
        <v/>
      </c>
      <c r="S101" s="19" t="str">
        <f t="shared" si="3"/>
        <v/>
      </c>
      <c r="T101" s="17"/>
      <c r="U101" s="16"/>
      <c r="V101" s="16"/>
      <c r="W101" s="16"/>
      <c r="X101" s="16"/>
      <c r="Y101" s="16"/>
      <c r="Z101" s="16"/>
      <c r="AA101" s="16"/>
      <c r="AB101" s="20" t="str">
        <f>IF(A101="","",COUNTIF(Variants!$A$3:$A$1502,A101))</f>
        <v/>
      </c>
      <c r="AC101" s="21" t="str">
        <f>IF(A101="","",IF(IF(E101="","description, ","")&amp;IF(AND(O101="",COUNTIFS(Variants!$A$3:$A$1502,A101,Variants!$K$3:$K$1502,"&lt;&gt;")=0),"price, ","")&amp;IF(T101="","image, ","")&amp;IF(B101="","category, ","")&amp;IF(N(AB101)=0,"variant, ","")&amp;IF(AND(P101="Percentage",N(Q101)&gt;100),"discount over 100%, ","")&amp;IF(AND(P101="Fixed amount",O101&lt;&gt;"",N(Q101)&gt;N(O101)),"discount over price, ","")="","Ready","Missing: "&amp;LEFT(IF(E101="","description, ","")&amp;IF(AND(O101="",COUNTIFS(Variants!$A$3:$A$1502,A101,Variants!$K$3:$K$1502,"&lt;&gt;")=0),"price, ","")&amp;IF(T101="","image, ","")&amp;IF(B101="","category, ","")&amp;IF(N(AB101)=0,"variant, ","")&amp;IF(AND(P101="Percentage",N(Q101)&gt;100),"discount over 100%, ","")&amp;IF(AND(P101="Fixed amount",O101&lt;&gt;"",N(Q101)&gt;N(O101)),"discount over price, ",""),LEN(IF(E101="","description, ","")&amp;IF(AND(O101="",COUNTIFS(Variants!$A$3:$A$1502,A101,Variants!$K$3:$K$1502,"&lt;&gt;")=0),"price, ","")&amp;IF(T101="","image, ","")&amp;IF(B101="","category, ","")&amp;IF(N(AB101)=0,"variant, ","")&amp;IF(AND(P101="Percentage",N(Q101)&gt;100),"discount over 100%, ","")&amp;IF(AND(P101="Fixed amount",O101&lt;&gt;"",N(Q101)&gt;N(O101)),"discount over price, ",""))-2)))</f>
        <v/>
      </c>
    </row>
    <row r="102" spans="1:29" x14ac:dyDescent="0.3">
      <c r="A102" s="16"/>
      <c r="B102" s="16"/>
      <c r="C102" s="16"/>
      <c r="D102" s="17"/>
      <c r="E102" s="17"/>
      <c r="F102" s="16"/>
      <c r="G102" s="16"/>
      <c r="H102" s="16"/>
      <c r="I102" s="16"/>
      <c r="J102" s="16"/>
      <c r="K102" s="16"/>
      <c r="L102" s="17"/>
      <c r="M102" s="17"/>
      <c r="N102" s="17"/>
      <c r="O102" s="18"/>
      <c r="P102" s="16"/>
      <c r="Q102" s="16"/>
      <c r="R102" s="19" t="str">
        <f t="shared" si="2"/>
        <v/>
      </c>
      <c r="S102" s="19" t="str">
        <f t="shared" si="3"/>
        <v/>
      </c>
      <c r="T102" s="17"/>
      <c r="U102" s="16"/>
      <c r="V102" s="16"/>
      <c r="W102" s="16"/>
      <c r="X102" s="16"/>
      <c r="Y102" s="16"/>
      <c r="Z102" s="16"/>
      <c r="AA102" s="16"/>
      <c r="AB102" s="20" t="str">
        <f>IF(A102="","",COUNTIF(Variants!$A$3:$A$1502,A102))</f>
        <v/>
      </c>
      <c r="AC102" s="21" t="str">
        <f>IF(A102="","",IF(IF(E102="","description, ","")&amp;IF(AND(O102="",COUNTIFS(Variants!$A$3:$A$1502,A102,Variants!$K$3:$K$1502,"&lt;&gt;")=0),"price, ","")&amp;IF(T102="","image, ","")&amp;IF(B102="","category, ","")&amp;IF(N(AB102)=0,"variant, ","")&amp;IF(AND(P102="Percentage",N(Q102)&gt;100),"discount over 100%, ","")&amp;IF(AND(P102="Fixed amount",O102&lt;&gt;"",N(Q102)&gt;N(O102)),"discount over price, ","")="","Ready","Missing: "&amp;LEFT(IF(E102="","description, ","")&amp;IF(AND(O102="",COUNTIFS(Variants!$A$3:$A$1502,A102,Variants!$K$3:$K$1502,"&lt;&gt;")=0),"price, ","")&amp;IF(T102="","image, ","")&amp;IF(B102="","category, ","")&amp;IF(N(AB102)=0,"variant, ","")&amp;IF(AND(P102="Percentage",N(Q102)&gt;100),"discount over 100%, ","")&amp;IF(AND(P102="Fixed amount",O102&lt;&gt;"",N(Q102)&gt;N(O102)),"discount over price, ",""),LEN(IF(E102="","description, ","")&amp;IF(AND(O102="",COUNTIFS(Variants!$A$3:$A$1502,A102,Variants!$K$3:$K$1502,"&lt;&gt;")=0),"price, ","")&amp;IF(T102="","image, ","")&amp;IF(B102="","category, ","")&amp;IF(N(AB102)=0,"variant, ","")&amp;IF(AND(P102="Percentage",N(Q102)&gt;100),"discount over 100%, ","")&amp;IF(AND(P102="Fixed amount",O102&lt;&gt;"",N(Q102)&gt;N(O102)),"discount over price, ",""))-2)))</f>
        <v/>
      </c>
    </row>
    <row r="103" spans="1:29" x14ac:dyDescent="0.3">
      <c r="A103" s="16"/>
      <c r="B103" s="16"/>
      <c r="C103" s="16"/>
      <c r="D103" s="17"/>
      <c r="E103" s="17"/>
      <c r="F103" s="16"/>
      <c r="G103" s="16"/>
      <c r="H103" s="16"/>
      <c r="I103" s="16"/>
      <c r="J103" s="16"/>
      <c r="K103" s="16"/>
      <c r="L103" s="17"/>
      <c r="M103" s="17"/>
      <c r="N103" s="17"/>
      <c r="O103" s="18"/>
      <c r="P103" s="16"/>
      <c r="Q103" s="16"/>
      <c r="R103" s="19" t="str">
        <f t="shared" si="2"/>
        <v/>
      </c>
      <c r="S103" s="19" t="str">
        <f t="shared" si="3"/>
        <v/>
      </c>
      <c r="T103" s="17"/>
      <c r="U103" s="16"/>
      <c r="V103" s="16"/>
      <c r="W103" s="16"/>
      <c r="X103" s="16"/>
      <c r="Y103" s="16"/>
      <c r="Z103" s="16"/>
      <c r="AA103" s="16"/>
      <c r="AB103" s="20" t="str">
        <f>IF(A103="","",COUNTIF(Variants!$A$3:$A$1502,A103))</f>
        <v/>
      </c>
      <c r="AC103" s="21" t="str">
        <f>IF(A103="","",IF(IF(E103="","description, ","")&amp;IF(AND(O103="",COUNTIFS(Variants!$A$3:$A$1502,A103,Variants!$K$3:$K$1502,"&lt;&gt;")=0),"price, ","")&amp;IF(T103="","image, ","")&amp;IF(B103="","category, ","")&amp;IF(N(AB103)=0,"variant, ","")&amp;IF(AND(P103="Percentage",N(Q103)&gt;100),"discount over 100%, ","")&amp;IF(AND(P103="Fixed amount",O103&lt;&gt;"",N(Q103)&gt;N(O103)),"discount over price, ","")="","Ready","Missing: "&amp;LEFT(IF(E103="","description, ","")&amp;IF(AND(O103="",COUNTIFS(Variants!$A$3:$A$1502,A103,Variants!$K$3:$K$1502,"&lt;&gt;")=0),"price, ","")&amp;IF(T103="","image, ","")&amp;IF(B103="","category, ","")&amp;IF(N(AB103)=0,"variant, ","")&amp;IF(AND(P103="Percentage",N(Q103)&gt;100),"discount over 100%, ","")&amp;IF(AND(P103="Fixed amount",O103&lt;&gt;"",N(Q103)&gt;N(O103)),"discount over price, ",""),LEN(IF(E103="","description, ","")&amp;IF(AND(O103="",COUNTIFS(Variants!$A$3:$A$1502,A103,Variants!$K$3:$K$1502,"&lt;&gt;")=0),"price, ","")&amp;IF(T103="","image, ","")&amp;IF(B103="","category, ","")&amp;IF(N(AB103)=0,"variant, ","")&amp;IF(AND(P103="Percentage",N(Q103)&gt;100),"discount over 100%, ","")&amp;IF(AND(P103="Fixed amount",O103&lt;&gt;"",N(Q103)&gt;N(O103)),"discount over price, ",""))-2)))</f>
        <v/>
      </c>
    </row>
    <row r="104" spans="1:29" x14ac:dyDescent="0.3">
      <c r="A104" s="16"/>
      <c r="B104" s="16"/>
      <c r="C104" s="16"/>
      <c r="D104" s="17"/>
      <c r="E104" s="17"/>
      <c r="F104" s="16"/>
      <c r="G104" s="16"/>
      <c r="H104" s="16"/>
      <c r="I104" s="16"/>
      <c r="J104" s="16"/>
      <c r="K104" s="16"/>
      <c r="L104" s="17"/>
      <c r="M104" s="17"/>
      <c r="N104" s="17"/>
      <c r="O104" s="18"/>
      <c r="P104" s="16"/>
      <c r="Q104" s="16"/>
      <c r="R104" s="19" t="str">
        <f t="shared" si="2"/>
        <v/>
      </c>
      <c r="S104" s="19" t="str">
        <f t="shared" si="3"/>
        <v/>
      </c>
      <c r="T104" s="17"/>
      <c r="U104" s="16"/>
      <c r="V104" s="16"/>
      <c r="W104" s="16"/>
      <c r="X104" s="16"/>
      <c r="Y104" s="16"/>
      <c r="Z104" s="16"/>
      <c r="AA104" s="16"/>
      <c r="AB104" s="20" t="str">
        <f>IF(A104="","",COUNTIF(Variants!$A$3:$A$1502,A104))</f>
        <v/>
      </c>
      <c r="AC104" s="21" t="str">
        <f>IF(A104="","",IF(IF(E104="","description, ","")&amp;IF(AND(O104="",COUNTIFS(Variants!$A$3:$A$1502,A104,Variants!$K$3:$K$1502,"&lt;&gt;")=0),"price, ","")&amp;IF(T104="","image, ","")&amp;IF(B104="","category, ","")&amp;IF(N(AB104)=0,"variant, ","")&amp;IF(AND(P104="Percentage",N(Q104)&gt;100),"discount over 100%, ","")&amp;IF(AND(P104="Fixed amount",O104&lt;&gt;"",N(Q104)&gt;N(O104)),"discount over price, ","")="","Ready","Missing: "&amp;LEFT(IF(E104="","description, ","")&amp;IF(AND(O104="",COUNTIFS(Variants!$A$3:$A$1502,A104,Variants!$K$3:$K$1502,"&lt;&gt;")=0),"price, ","")&amp;IF(T104="","image, ","")&amp;IF(B104="","category, ","")&amp;IF(N(AB104)=0,"variant, ","")&amp;IF(AND(P104="Percentage",N(Q104)&gt;100),"discount over 100%, ","")&amp;IF(AND(P104="Fixed amount",O104&lt;&gt;"",N(Q104)&gt;N(O104)),"discount over price, ",""),LEN(IF(E104="","description, ","")&amp;IF(AND(O104="",COUNTIFS(Variants!$A$3:$A$1502,A104,Variants!$K$3:$K$1502,"&lt;&gt;")=0),"price, ","")&amp;IF(T104="","image, ","")&amp;IF(B104="","category, ","")&amp;IF(N(AB104)=0,"variant, ","")&amp;IF(AND(P104="Percentage",N(Q104)&gt;100),"discount over 100%, ","")&amp;IF(AND(P104="Fixed amount",O104&lt;&gt;"",N(Q104)&gt;N(O104)),"discount over price, ",""))-2)))</f>
        <v/>
      </c>
    </row>
    <row r="105" spans="1:29" x14ac:dyDescent="0.3">
      <c r="A105" s="16"/>
      <c r="B105" s="16"/>
      <c r="C105" s="16"/>
      <c r="D105" s="17"/>
      <c r="E105" s="17"/>
      <c r="F105" s="16"/>
      <c r="G105" s="16"/>
      <c r="H105" s="16"/>
      <c r="I105" s="16"/>
      <c r="J105" s="16"/>
      <c r="K105" s="16"/>
      <c r="L105" s="17"/>
      <c r="M105" s="17"/>
      <c r="N105" s="17"/>
      <c r="O105" s="18"/>
      <c r="P105" s="16"/>
      <c r="Q105" s="16"/>
      <c r="R105" s="19" t="str">
        <f t="shared" si="2"/>
        <v/>
      </c>
      <c r="S105" s="19" t="str">
        <f t="shared" si="3"/>
        <v/>
      </c>
      <c r="T105" s="17"/>
      <c r="U105" s="16"/>
      <c r="V105" s="16"/>
      <c r="W105" s="16"/>
      <c r="X105" s="16"/>
      <c r="Y105" s="16"/>
      <c r="Z105" s="16"/>
      <c r="AA105" s="16"/>
      <c r="AB105" s="20" t="str">
        <f>IF(A105="","",COUNTIF(Variants!$A$3:$A$1502,A105))</f>
        <v/>
      </c>
      <c r="AC105" s="21" t="str">
        <f>IF(A105="","",IF(IF(E105="","description, ","")&amp;IF(AND(O105="",COUNTIFS(Variants!$A$3:$A$1502,A105,Variants!$K$3:$K$1502,"&lt;&gt;")=0),"price, ","")&amp;IF(T105="","image, ","")&amp;IF(B105="","category, ","")&amp;IF(N(AB105)=0,"variant, ","")&amp;IF(AND(P105="Percentage",N(Q105)&gt;100),"discount over 100%, ","")&amp;IF(AND(P105="Fixed amount",O105&lt;&gt;"",N(Q105)&gt;N(O105)),"discount over price, ","")="","Ready","Missing: "&amp;LEFT(IF(E105="","description, ","")&amp;IF(AND(O105="",COUNTIFS(Variants!$A$3:$A$1502,A105,Variants!$K$3:$K$1502,"&lt;&gt;")=0),"price, ","")&amp;IF(T105="","image, ","")&amp;IF(B105="","category, ","")&amp;IF(N(AB105)=0,"variant, ","")&amp;IF(AND(P105="Percentage",N(Q105)&gt;100),"discount over 100%, ","")&amp;IF(AND(P105="Fixed amount",O105&lt;&gt;"",N(Q105)&gt;N(O105)),"discount over price, ",""),LEN(IF(E105="","description, ","")&amp;IF(AND(O105="",COUNTIFS(Variants!$A$3:$A$1502,A105,Variants!$K$3:$K$1502,"&lt;&gt;")=0),"price, ","")&amp;IF(T105="","image, ","")&amp;IF(B105="","category, ","")&amp;IF(N(AB105)=0,"variant, ","")&amp;IF(AND(P105="Percentage",N(Q105)&gt;100),"discount over 100%, ","")&amp;IF(AND(P105="Fixed amount",O105&lt;&gt;"",N(Q105)&gt;N(O105)),"discount over price, ",""))-2)))</f>
        <v/>
      </c>
    </row>
    <row r="106" spans="1:29" x14ac:dyDescent="0.3">
      <c r="A106" s="16"/>
      <c r="B106" s="16"/>
      <c r="C106" s="16"/>
      <c r="D106" s="17"/>
      <c r="E106" s="17"/>
      <c r="F106" s="16"/>
      <c r="G106" s="16"/>
      <c r="H106" s="16"/>
      <c r="I106" s="16"/>
      <c r="J106" s="16"/>
      <c r="K106" s="16"/>
      <c r="L106" s="17"/>
      <c r="M106" s="17"/>
      <c r="N106" s="17"/>
      <c r="O106" s="18"/>
      <c r="P106" s="16"/>
      <c r="Q106" s="16"/>
      <c r="R106" s="19" t="str">
        <f t="shared" si="2"/>
        <v/>
      </c>
      <c r="S106" s="19" t="str">
        <f t="shared" si="3"/>
        <v/>
      </c>
      <c r="T106" s="17"/>
      <c r="U106" s="16"/>
      <c r="V106" s="16"/>
      <c r="W106" s="16"/>
      <c r="X106" s="16"/>
      <c r="Y106" s="16"/>
      <c r="Z106" s="16"/>
      <c r="AA106" s="16"/>
      <c r="AB106" s="20" t="str">
        <f>IF(A106="","",COUNTIF(Variants!$A$3:$A$1502,A106))</f>
        <v/>
      </c>
      <c r="AC106" s="21" t="str">
        <f>IF(A106="","",IF(IF(E106="","description, ","")&amp;IF(AND(O106="",COUNTIFS(Variants!$A$3:$A$1502,A106,Variants!$K$3:$K$1502,"&lt;&gt;")=0),"price, ","")&amp;IF(T106="","image, ","")&amp;IF(B106="","category, ","")&amp;IF(N(AB106)=0,"variant, ","")&amp;IF(AND(P106="Percentage",N(Q106)&gt;100),"discount over 100%, ","")&amp;IF(AND(P106="Fixed amount",O106&lt;&gt;"",N(Q106)&gt;N(O106)),"discount over price, ","")="","Ready","Missing: "&amp;LEFT(IF(E106="","description, ","")&amp;IF(AND(O106="",COUNTIFS(Variants!$A$3:$A$1502,A106,Variants!$K$3:$K$1502,"&lt;&gt;")=0),"price, ","")&amp;IF(T106="","image, ","")&amp;IF(B106="","category, ","")&amp;IF(N(AB106)=0,"variant, ","")&amp;IF(AND(P106="Percentage",N(Q106)&gt;100),"discount over 100%, ","")&amp;IF(AND(P106="Fixed amount",O106&lt;&gt;"",N(Q106)&gt;N(O106)),"discount over price, ",""),LEN(IF(E106="","description, ","")&amp;IF(AND(O106="",COUNTIFS(Variants!$A$3:$A$1502,A106,Variants!$K$3:$K$1502,"&lt;&gt;")=0),"price, ","")&amp;IF(T106="","image, ","")&amp;IF(B106="","category, ","")&amp;IF(N(AB106)=0,"variant, ","")&amp;IF(AND(P106="Percentage",N(Q106)&gt;100),"discount over 100%, ","")&amp;IF(AND(P106="Fixed amount",O106&lt;&gt;"",N(Q106)&gt;N(O106)),"discount over price, ",""))-2)))</f>
        <v/>
      </c>
    </row>
    <row r="107" spans="1:29" x14ac:dyDescent="0.3">
      <c r="A107" s="16"/>
      <c r="B107" s="16"/>
      <c r="C107" s="16"/>
      <c r="D107" s="17"/>
      <c r="E107" s="17"/>
      <c r="F107" s="16"/>
      <c r="G107" s="16"/>
      <c r="H107" s="16"/>
      <c r="I107" s="16"/>
      <c r="J107" s="16"/>
      <c r="K107" s="16"/>
      <c r="L107" s="17"/>
      <c r="M107" s="17"/>
      <c r="N107" s="17"/>
      <c r="O107" s="18"/>
      <c r="P107" s="16"/>
      <c r="Q107" s="16"/>
      <c r="R107" s="19" t="str">
        <f t="shared" si="2"/>
        <v/>
      </c>
      <c r="S107" s="19" t="str">
        <f t="shared" si="3"/>
        <v/>
      </c>
      <c r="T107" s="17"/>
      <c r="U107" s="16"/>
      <c r="V107" s="16"/>
      <c r="W107" s="16"/>
      <c r="X107" s="16"/>
      <c r="Y107" s="16"/>
      <c r="Z107" s="16"/>
      <c r="AA107" s="16"/>
      <c r="AB107" s="20" t="str">
        <f>IF(A107="","",COUNTIF(Variants!$A$3:$A$1502,A107))</f>
        <v/>
      </c>
      <c r="AC107" s="21" t="str">
        <f>IF(A107="","",IF(IF(E107="","description, ","")&amp;IF(AND(O107="",COUNTIFS(Variants!$A$3:$A$1502,A107,Variants!$K$3:$K$1502,"&lt;&gt;")=0),"price, ","")&amp;IF(T107="","image, ","")&amp;IF(B107="","category, ","")&amp;IF(N(AB107)=0,"variant, ","")&amp;IF(AND(P107="Percentage",N(Q107)&gt;100),"discount over 100%, ","")&amp;IF(AND(P107="Fixed amount",O107&lt;&gt;"",N(Q107)&gt;N(O107)),"discount over price, ","")="","Ready","Missing: "&amp;LEFT(IF(E107="","description, ","")&amp;IF(AND(O107="",COUNTIFS(Variants!$A$3:$A$1502,A107,Variants!$K$3:$K$1502,"&lt;&gt;")=0),"price, ","")&amp;IF(T107="","image, ","")&amp;IF(B107="","category, ","")&amp;IF(N(AB107)=0,"variant, ","")&amp;IF(AND(P107="Percentage",N(Q107)&gt;100),"discount over 100%, ","")&amp;IF(AND(P107="Fixed amount",O107&lt;&gt;"",N(Q107)&gt;N(O107)),"discount over price, ",""),LEN(IF(E107="","description, ","")&amp;IF(AND(O107="",COUNTIFS(Variants!$A$3:$A$1502,A107,Variants!$K$3:$K$1502,"&lt;&gt;")=0),"price, ","")&amp;IF(T107="","image, ","")&amp;IF(B107="","category, ","")&amp;IF(N(AB107)=0,"variant, ","")&amp;IF(AND(P107="Percentage",N(Q107)&gt;100),"discount over 100%, ","")&amp;IF(AND(P107="Fixed amount",O107&lt;&gt;"",N(Q107)&gt;N(O107)),"discount over price, ",""))-2)))</f>
        <v/>
      </c>
    </row>
    <row r="108" spans="1:29" x14ac:dyDescent="0.3">
      <c r="A108" s="16"/>
      <c r="B108" s="16"/>
      <c r="C108" s="16"/>
      <c r="D108" s="17"/>
      <c r="E108" s="17"/>
      <c r="F108" s="16"/>
      <c r="G108" s="16"/>
      <c r="H108" s="16"/>
      <c r="I108" s="16"/>
      <c r="J108" s="16"/>
      <c r="K108" s="16"/>
      <c r="L108" s="17"/>
      <c r="M108" s="17"/>
      <c r="N108" s="17"/>
      <c r="O108" s="18"/>
      <c r="P108" s="16"/>
      <c r="Q108" s="16"/>
      <c r="R108" s="19" t="str">
        <f t="shared" si="2"/>
        <v/>
      </c>
      <c r="S108" s="19" t="str">
        <f t="shared" si="3"/>
        <v/>
      </c>
      <c r="T108" s="17"/>
      <c r="U108" s="16"/>
      <c r="V108" s="16"/>
      <c r="W108" s="16"/>
      <c r="X108" s="16"/>
      <c r="Y108" s="16"/>
      <c r="Z108" s="16"/>
      <c r="AA108" s="16"/>
      <c r="AB108" s="20" t="str">
        <f>IF(A108="","",COUNTIF(Variants!$A$3:$A$1502,A108))</f>
        <v/>
      </c>
      <c r="AC108" s="21" t="str">
        <f>IF(A108="","",IF(IF(E108="","description, ","")&amp;IF(AND(O108="",COUNTIFS(Variants!$A$3:$A$1502,A108,Variants!$K$3:$K$1502,"&lt;&gt;")=0),"price, ","")&amp;IF(T108="","image, ","")&amp;IF(B108="","category, ","")&amp;IF(N(AB108)=0,"variant, ","")&amp;IF(AND(P108="Percentage",N(Q108)&gt;100),"discount over 100%, ","")&amp;IF(AND(P108="Fixed amount",O108&lt;&gt;"",N(Q108)&gt;N(O108)),"discount over price, ","")="","Ready","Missing: "&amp;LEFT(IF(E108="","description, ","")&amp;IF(AND(O108="",COUNTIFS(Variants!$A$3:$A$1502,A108,Variants!$K$3:$K$1502,"&lt;&gt;")=0),"price, ","")&amp;IF(T108="","image, ","")&amp;IF(B108="","category, ","")&amp;IF(N(AB108)=0,"variant, ","")&amp;IF(AND(P108="Percentage",N(Q108)&gt;100),"discount over 100%, ","")&amp;IF(AND(P108="Fixed amount",O108&lt;&gt;"",N(Q108)&gt;N(O108)),"discount over price, ",""),LEN(IF(E108="","description, ","")&amp;IF(AND(O108="",COUNTIFS(Variants!$A$3:$A$1502,A108,Variants!$K$3:$K$1502,"&lt;&gt;")=0),"price, ","")&amp;IF(T108="","image, ","")&amp;IF(B108="","category, ","")&amp;IF(N(AB108)=0,"variant, ","")&amp;IF(AND(P108="Percentage",N(Q108)&gt;100),"discount over 100%, ","")&amp;IF(AND(P108="Fixed amount",O108&lt;&gt;"",N(Q108)&gt;N(O108)),"discount over price, ",""))-2)))</f>
        <v/>
      </c>
    </row>
    <row r="109" spans="1:29" x14ac:dyDescent="0.3">
      <c r="A109" s="16"/>
      <c r="B109" s="16"/>
      <c r="C109" s="16"/>
      <c r="D109" s="17"/>
      <c r="E109" s="17"/>
      <c r="F109" s="16"/>
      <c r="G109" s="16"/>
      <c r="H109" s="16"/>
      <c r="I109" s="16"/>
      <c r="J109" s="16"/>
      <c r="K109" s="16"/>
      <c r="L109" s="17"/>
      <c r="M109" s="17"/>
      <c r="N109" s="17"/>
      <c r="O109" s="18"/>
      <c r="P109" s="16"/>
      <c r="Q109" s="16"/>
      <c r="R109" s="19" t="str">
        <f t="shared" si="2"/>
        <v/>
      </c>
      <c r="S109" s="19" t="str">
        <f t="shared" si="3"/>
        <v/>
      </c>
      <c r="T109" s="17"/>
      <c r="U109" s="16"/>
      <c r="V109" s="16"/>
      <c r="W109" s="16"/>
      <c r="X109" s="16"/>
      <c r="Y109" s="16"/>
      <c r="Z109" s="16"/>
      <c r="AA109" s="16"/>
      <c r="AB109" s="20" t="str">
        <f>IF(A109="","",COUNTIF(Variants!$A$3:$A$1502,A109))</f>
        <v/>
      </c>
      <c r="AC109" s="21" t="str">
        <f>IF(A109="","",IF(IF(E109="","description, ","")&amp;IF(AND(O109="",COUNTIFS(Variants!$A$3:$A$1502,A109,Variants!$K$3:$K$1502,"&lt;&gt;")=0),"price, ","")&amp;IF(T109="","image, ","")&amp;IF(B109="","category, ","")&amp;IF(N(AB109)=0,"variant, ","")&amp;IF(AND(P109="Percentage",N(Q109)&gt;100),"discount over 100%, ","")&amp;IF(AND(P109="Fixed amount",O109&lt;&gt;"",N(Q109)&gt;N(O109)),"discount over price, ","")="","Ready","Missing: "&amp;LEFT(IF(E109="","description, ","")&amp;IF(AND(O109="",COUNTIFS(Variants!$A$3:$A$1502,A109,Variants!$K$3:$K$1502,"&lt;&gt;")=0),"price, ","")&amp;IF(T109="","image, ","")&amp;IF(B109="","category, ","")&amp;IF(N(AB109)=0,"variant, ","")&amp;IF(AND(P109="Percentage",N(Q109)&gt;100),"discount over 100%, ","")&amp;IF(AND(P109="Fixed amount",O109&lt;&gt;"",N(Q109)&gt;N(O109)),"discount over price, ",""),LEN(IF(E109="","description, ","")&amp;IF(AND(O109="",COUNTIFS(Variants!$A$3:$A$1502,A109,Variants!$K$3:$K$1502,"&lt;&gt;")=0),"price, ","")&amp;IF(T109="","image, ","")&amp;IF(B109="","category, ","")&amp;IF(N(AB109)=0,"variant, ","")&amp;IF(AND(P109="Percentage",N(Q109)&gt;100),"discount over 100%, ","")&amp;IF(AND(P109="Fixed amount",O109&lt;&gt;"",N(Q109)&gt;N(O109)),"discount over price, ",""))-2)))</f>
        <v/>
      </c>
    </row>
    <row r="110" spans="1:29" x14ac:dyDescent="0.3">
      <c r="A110" s="16"/>
      <c r="B110" s="16"/>
      <c r="C110" s="16"/>
      <c r="D110" s="17"/>
      <c r="E110" s="17"/>
      <c r="F110" s="16"/>
      <c r="G110" s="16"/>
      <c r="H110" s="16"/>
      <c r="I110" s="16"/>
      <c r="J110" s="16"/>
      <c r="K110" s="16"/>
      <c r="L110" s="17"/>
      <c r="M110" s="17"/>
      <c r="N110" s="17"/>
      <c r="O110" s="18"/>
      <c r="P110" s="16"/>
      <c r="Q110" s="16"/>
      <c r="R110" s="19" t="str">
        <f t="shared" si="2"/>
        <v/>
      </c>
      <c r="S110" s="19" t="str">
        <f t="shared" si="3"/>
        <v/>
      </c>
      <c r="T110" s="17"/>
      <c r="U110" s="16"/>
      <c r="V110" s="16"/>
      <c r="W110" s="16"/>
      <c r="X110" s="16"/>
      <c r="Y110" s="16"/>
      <c r="Z110" s="16"/>
      <c r="AA110" s="16"/>
      <c r="AB110" s="20" t="str">
        <f>IF(A110="","",COUNTIF(Variants!$A$3:$A$1502,A110))</f>
        <v/>
      </c>
      <c r="AC110" s="21" t="str">
        <f>IF(A110="","",IF(IF(E110="","description, ","")&amp;IF(AND(O110="",COUNTIFS(Variants!$A$3:$A$1502,A110,Variants!$K$3:$K$1502,"&lt;&gt;")=0),"price, ","")&amp;IF(T110="","image, ","")&amp;IF(B110="","category, ","")&amp;IF(N(AB110)=0,"variant, ","")&amp;IF(AND(P110="Percentage",N(Q110)&gt;100),"discount over 100%, ","")&amp;IF(AND(P110="Fixed amount",O110&lt;&gt;"",N(Q110)&gt;N(O110)),"discount over price, ","")="","Ready","Missing: "&amp;LEFT(IF(E110="","description, ","")&amp;IF(AND(O110="",COUNTIFS(Variants!$A$3:$A$1502,A110,Variants!$K$3:$K$1502,"&lt;&gt;")=0),"price, ","")&amp;IF(T110="","image, ","")&amp;IF(B110="","category, ","")&amp;IF(N(AB110)=0,"variant, ","")&amp;IF(AND(P110="Percentage",N(Q110)&gt;100),"discount over 100%, ","")&amp;IF(AND(P110="Fixed amount",O110&lt;&gt;"",N(Q110)&gt;N(O110)),"discount over price, ",""),LEN(IF(E110="","description, ","")&amp;IF(AND(O110="",COUNTIFS(Variants!$A$3:$A$1502,A110,Variants!$K$3:$K$1502,"&lt;&gt;")=0),"price, ","")&amp;IF(T110="","image, ","")&amp;IF(B110="","category, ","")&amp;IF(N(AB110)=0,"variant, ","")&amp;IF(AND(P110="Percentage",N(Q110)&gt;100),"discount over 100%, ","")&amp;IF(AND(P110="Fixed amount",O110&lt;&gt;"",N(Q110)&gt;N(O110)),"discount over price, ",""))-2)))</f>
        <v/>
      </c>
    </row>
    <row r="111" spans="1:29" x14ac:dyDescent="0.3">
      <c r="A111" s="16"/>
      <c r="B111" s="16"/>
      <c r="C111" s="16"/>
      <c r="D111" s="17"/>
      <c r="E111" s="17"/>
      <c r="F111" s="16"/>
      <c r="G111" s="16"/>
      <c r="H111" s="16"/>
      <c r="I111" s="16"/>
      <c r="J111" s="16"/>
      <c r="K111" s="16"/>
      <c r="L111" s="17"/>
      <c r="M111" s="17"/>
      <c r="N111" s="17"/>
      <c r="O111" s="18"/>
      <c r="P111" s="16"/>
      <c r="Q111" s="16"/>
      <c r="R111" s="19" t="str">
        <f t="shared" si="2"/>
        <v/>
      </c>
      <c r="S111" s="19" t="str">
        <f t="shared" si="3"/>
        <v/>
      </c>
      <c r="T111" s="17"/>
      <c r="U111" s="16"/>
      <c r="V111" s="16"/>
      <c r="W111" s="16"/>
      <c r="X111" s="16"/>
      <c r="Y111" s="16"/>
      <c r="Z111" s="16"/>
      <c r="AA111" s="16"/>
      <c r="AB111" s="20" t="str">
        <f>IF(A111="","",COUNTIF(Variants!$A$3:$A$1502,A111))</f>
        <v/>
      </c>
      <c r="AC111" s="21" t="str">
        <f>IF(A111="","",IF(IF(E111="","description, ","")&amp;IF(AND(O111="",COUNTIFS(Variants!$A$3:$A$1502,A111,Variants!$K$3:$K$1502,"&lt;&gt;")=0),"price, ","")&amp;IF(T111="","image, ","")&amp;IF(B111="","category, ","")&amp;IF(N(AB111)=0,"variant, ","")&amp;IF(AND(P111="Percentage",N(Q111)&gt;100),"discount over 100%, ","")&amp;IF(AND(P111="Fixed amount",O111&lt;&gt;"",N(Q111)&gt;N(O111)),"discount over price, ","")="","Ready","Missing: "&amp;LEFT(IF(E111="","description, ","")&amp;IF(AND(O111="",COUNTIFS(Variants!$A$3:$A$1502,A111,Variants!$K$3:$K$1502,"&lt;&gt;")=0),"price, ","")&amp;IF(T111="","image, ","")&amp;IF(B111="","category, ","")&amp;IF(N(AB111)=0,"variant, ","")&amp;IF(AND(P111="Percentage",N(Q111)&gt;100),"discount over 100%, ","")&amp;IF(AND(P111="Fixed amount",O111&lt;&gt;"",N(Q111)&gt;N(O111)),"discount over price, ",""),LEN(IF(E111="","description, ","")&amp;IF(AND(O111="",COUNTIFS(Variants!$A$3:$A$1502,A111,Variants!$K$3:$K$1502,"&lt;&gt;")=0),"price, ","")&amp;IF(T111="","image, ","")&amp;IF(B111="","category, ","")&amp;IF(N(AB111)=0,"variant, ","")&amp;IF(AND(P111="Percentage",N(Q111)&gt;100),"discount over 100%, ","")&amp;IF(AND(P111="Fixed amount",O111&lt;&gt;"",N(Q111)&gt;N(O111)),"discount over price, ",""))-2)))</f>
        <v/>
      </c>
    </row>
    <row r="112" spans="1:29" x14ac:dyDescent="0.3">
      <c r="A112" s="16"/>
      <c r="B112" s="16"/>
      <c r="C112" s="16"/>
      <c r="D112" s="17"/>
      <c r="E112" s="17"/>
      <c r="F112" s="16"/>
      <c r="G112" s="16"/>
      <c r="H112" s="16"/>
      <c r="I112" s="16"/>
      <c r="J112" s="16"/>
      <c r="K112" s="16"/>
      <c r="L112" s="17"/>
      <c r="M112" s="17"/>
      <c r="N112" s="17"/>
      <c r="O112" s="18"/>
      <c r="P112" s="16"/>
      <c r="Q112" s="16"/>
      <c r="R112" s="19" t="str">
        <f t="shared" si="2"/>
        <v/>
      </c>
      <c r="S112" s="19" t="str">
        <f t="shared" si="3"/>
        <v/>
      </c>
      <c r="T112" s="17"/>
      <c r="U112" s="16"/>
      <c r="V112" s="16"/>
      <c r="W112" s="16"/>
      <c r="X112" s="16"/>
      <c r="Y112" s="16"/>
      <c r="Z112" s="16"/>
      <c r="AA112" s="16"/>
      <c r="AB112" s="20" t="str">
        <f>IF(A112="","",COUNTIF(Variants!$A$3:$A$1502,A112))</f>
        <v/>
      </c>
      <c r="AC112" s="21" t="str">
        <f>IF(A112="","",IF(IF(E112="","description, ","")&amp;IF(AND(O112="",COUNTIFS(Variants!$A$3:$A$1502,A112,Variants!$K$3:$K$1502,"&lt;&gt;")=0),"price, ","")&amp;IF(T112="","image, ","")&amp;IF(B112="","category, ","")&amp;IF(N(AB112)=0,"variant, ","")&amp;IF(AND(P112="Percentage",N(Q112)&gt;100),"discount over 100%, ","")&amp;IF(AND(P112="Fixed amount",O112&lt;&gt;"",N(Q112)&gt;N(O112)),"discount over price, ","")="","Ready","Missing: "&amp;LEFT(IF(E112="","description, ","")&amp;IF(AND(O112="",COUNTIFS(Variants!$A$3:$A$1502,A112,Variants!$K$3:$K$1502,"&lt;&gt;")=0),"price, ","")&amp;IF(T112="","image, ","")&amp;IF(B112="","category, ","")&amp;IF(N(AB112)=0,"variant, ","")&amp;IF(AND(P112="Percentage",N(Q112)&gt;100),"discount over 100%, ","")&amp;IF(AND(P112="Fixed amount",O112&lt;&gt;"",N(Q112)&gt;N(O112)),"discount over price, ",""),LEN(IF(E112="","description, ","")&amp;IF(AND(O112="",COUNTIFS(Variants!$A$3:$A$1502,A112,Variants!$K$3:$K$1502,"&lt;&gt;")=0),"price, ","")&amp;IF(T112="","image, ","")&amp;IF(B112="","category, ","")&amp;IF(N(AB112)=0,"variant, ","")&amp;IF(AND(P112="Percentage",N(Q112)&gt;100),"discount over 100%, ","")&amp;IF(AND(P112="Fixed amount",O112&lt;&gt;"",N(Q112)&gt;N(O112)),"discount over price, ",""))-2)))</f>
        <v/>
      </c>
    </row>
    <row r="113" spans="1:29" x14ac:dyDescent="0.3">
      <c r="A113" s="16"/>
      <c r="B113" s="16"/>
      <c r="C113" s="16"/>
      <c r="D113" s="17"/>
      <c r="E113" s="17"/>
      <c r="F113" s="16"/>
      <c r="G113" s="16"/>
      <c r="H113" s="16"/>
      <c r="I113" s="16"/>
      <c r="J113" s="16"/>
      <c r="K113" s="16"/>
      <c r="L113" s="17"/>
      <c r="M113" s="17"/>
      <c r="N113" s="17"/>
      <c r="O113" s="18"/>
      <c r="P113" s="16"/>
      <c r="Q113" s="16"/>
      <c r="R113" s="19" t="str">
        <f t="shared" si="2"/>
        <v/>
      </c>
      <c r="S113" s="19" t="str">
        <f t="shared" si="3"/>
        <v/>
      </c>
      <c r="T113" s="17"/>
      <c r="U113" s="16"/>
      <c r="V113" s="16"/>
      <c r="W113" s="16"/>
      <c r="X113" s="16"/>
      <c r="Y113" s="16"/>
      <c r="Z113" s="16"/>
      <c r="AA113" s="16"/>
      <c r="AB113" s="20" t="str">
        <f>IF(A113="","",COUNTIF(Variants!$A$3:$A$1502,A113))</f>
        <v/>
      </c>
      <c r="AC113" s="21" t="str">
        <f>IF(A113="","",IF(IF(E113="","description, ","")&amp;IF(AND(O113="",COUNTIFS(Variants!$A$3:$A$1502,A113,Variants!$K$3:$K$1502,"&lt;&gt;")=0),"price, ","")&amp;IF(T113="","image, ","")&amp;IF(B113="","category, ","")&amp;IF(N(AB113)=0,"variant, ","")&amp;IF(AND(P113="Percentage",N(Q113)&gt;100),"discount over 100%, ","")&amp;IF(AND(P113="Fixed amount",O113&lt;&gt;"",N(Q113)&gt;N(O113)),"discount over price, ","")="","Ready","Missing: "&amp;LEFT(IF(E113="","description, ","")&amp;IF(AND(O113="",COUNTIFS(Variants!$A$3:$A$1502,A113,Variants!$K$3:$K$1502,"&lt;&gt;")=0),"price, ","")&amp;IF(T113="","image, ","")&amp;IF(B113="","category, ","")&amp;IF(N(AB113)=0,"variant, ","")&amp;IF(AND(P113="Percentage",N(Q113)&gt;100),"discount over 100%, ","")&amp;IF(AND(P113="Fixed amount",O113&lt;&gt;"",N(Q113)&gt;N(O113)),"discount over price, ",""),LEN(IF(E113="","description, ","")&amp;IF(AND(O113="",COUNTIFS(Variants!$A$3:$A$1502,A113,Variants!$K$3:$K$1502,"&lt;&gt;")=0),"price, ","")&amp;IF(T113="","image, ","")&amp;IF(B113="","category, ","")&amp;IF(N(AB113)=0,"variant, ","")&amp;IF(AND(P113="Percentage",N(Q113)&gt;100),"discount over 100%, ","")&amp;IF(AND(P113="Fixed amount",O113&lt;&gt;"",N(Q113)&gt;N(O113)),"discount over price, ",""))-2)))</f>
        <v/>
      </c>
    </row>
    <row r="114" spans="1:29" x14ac:dyDescent="0.3">
      <c r="A114" s="16"/>
      <c r="B114" s="16"/>
      <c r="C114" s="16"/>
      <c r="D114" s="17"/>
      <c r="E114" s="17"/>
      <c r="F114" s="16"/>
      <c r="G114" s="16"/>
      <c r="H114" s="16"/>
      <c r="I114" s="16"/>
      <c r="J114" s="16"/>
      <c r="K114" s="16"/>
      <c r="L114" s="17"/>
      <c r="M114" s="17"/>
      <c r="N114" s="17"/>
      <c r="O114" s="18"/>
      <c r="P114" s="16"/>
      <c r="Q114" s="16"/>
      <c r="R114" s="19" t="str">
        <f t="shared" si="2"/>
        <v/>
      </c>
      <c r="S114" s="19" t="str">
        <f t="shared" si="3"/>
        <v/>
      </c>
      <c r="T114" s="17"/>
      <c r="U114" s="16"/>
      <c r="V114" s="16"/>
      <c r="W114" s="16"/>
      <c r="X114" s="16"/>
      <c r="Y114" s="16"/>
      <c r="Z114" s="16"/>
      <c r="AA114" s="16"/>
      <c r="AB114" s="20" t="str">
        <f>IF(A114="","",COUNTIF(Variants!$A$3:$A$1502,A114))</f>
        <v/>
      </c>
      <c r="AC114" s="21" t="str">
        <f>IF(A114="","",IF(IF(E114="","description, ","")&amp;IF(AND(O114="",COUNTIFS(Variants!$A$3:$A$1502,A114,Variants!$K$3:$K$1502,"&lt;&gt;")=0),"price, ","")&amp;IF(T114="","image, ","")&amp;IF(B114="","category, ","")&amp;IF(N(AB114)=0,"variant, ","")&amp;IF(AND(P114="Percentage",N(Q114)&gt;100),"discount over 100%, ","")&amp;IF(AND(P114="Fixed amount",O114&lt;&gt;"",N(Q114)&gt;N(O114)),"discount over price, ","")="","Ready","Missing: "&amp;LEFT(IF(E114="","description, ","")&amp;IF(AND(O114="",COUNTIFS(Variants!$A$3:$A$1502,A114,Variants!$K$3:$K$1502,"&lt;&gt;")=0),"price, ","")&amp;IF(T114="","image, ","")&amp;IF(B114="","category, ","")&amp;IF(N(AB114)=0,"variant, ","")&amp;IF(AND(P114="Percentage",N(Q114)&gt;100),"discount over 100%, ","")&amp;IF(AND(P114="Fixed amount",O114&lt;&gt;"",N(Q114)&gt;N(O114)),"discount over price, ",""),LEN(IF(E114="","description, ","")&amp;IF(AND(O114="",COUNTIFS(Variants!$A$3:$A$1502,A114,Variants!$K$3:$K$1502,"&lt;&gt;")=0),"price, ","")&amp;IF(T114="","image, ","")&amp;IF(B114="","category, ","")&amp;IF(N(AB114)=0,"variant, ","")&amp;IF(AND(P114="Percentage",N(Q114)&gt;100),"discount over 100%, ","")&amp;IF(AND(P114="Fixed amount",O114&lt;&gt;"",N(Q114)&gt;N(O114)),"discount over price, ",""))-2)))</f>
        <v/>
      </c>
    </row>
    <row r="115" spans="1:29" x14ac:dyDescent="0.3">
      <c r="A115" s="16"/>
      <c r="B115" s="16"/>
      <c r="C115" s="16"/>
      <c r="D115" s="17"/>
      <c r="E115" s="17"/>
      <c r="F115" s="16"/>
      <c r="G115" s="16"/>
      <c r="H115" s="16"/>
      <c r="I115" s="16"/>
      <c r="J115" s="16"/>
      <c r="K115" s="16"/>
      <c r="L115" s="17"/>
      <c r="M115" s="17"/>
      <c r="N115" s="17"/>
      <c r="O115" s="18"/>
      <c r="P115" s="16"/>
      <c r="Q115" s="16"/>
      <c r="R115" s="19" t="str">
        <f t="shared" si="2"/>
        <v/>
      </c>
      <c r="S115" s="19" t="str">
        <f t="shared" si="3"/>
        <v/>
      </c>
      <c r="T115" s="17"/>
      <c r="U115" s="16"/>
      <c r="V115" s="16"/>
      <c r="W115" s="16"/>
      <c r="X115" s="16"/>
      <c r="Y115" s="16"/>
      <c r="Z115" s="16"/>
      <c r="AA115" s="16"/>
      <c r="AB115" s="20" t="str">
        <f>IF(A115="","",COUNTIF(Variants!$A$3:$A$1502,A115))</f>
        <v/>
      </c>
      <c r="AC115" s="21" t="str">
        <f>IF(A115="","",IF(IF(E115="","description, ","")&amp;IF(AND(O115="",COUNTIFS(Variants!$A$3:$A$1502,A115,Variants!$K$3:$K$1502,"&lt;&gt;")=0),"price, ","")&amp;IF(T115="","image, ","")&amp;IF(B115="","category, ","")&amp;IF(N(AB115)=0,"variant, ","")&amp;IF(AND(P115="Percentage",N(Q115)&gt;100),"discount over 100%, ","")&amp;IF(AND(P115="Fixed amount",O115&lt;&gt;"",N(Q115)&gt;N(O115)),"discount over price, ","")="","Ready","Missing: "&amp;LEFT(IF(E115="","description, ","")&amp;IF(AND(O115="",COUNTIFS(Variants!$A$3:$A$1502,A115,Variants!$K$3:$K$1502,"&lt;&gt;")=0),"price, ","")&amp;IF(T115="","image, ","")&amp;IF(B115="","category, ","")&amp;IF(N(AB115)=0,"variant, ","")&amp;IF(AND(P115="Percentage",N(Q115)&gt;100),"discount over 100%, ","")&amp;IF(AND(P115="Fixed amount",O115&lt;&gt;"",N(Q115)&gt;N(O115)),"discount over price, ",""),LEN(IF(E115="","description, ","")&amp;IF(AND(O115="",COUNTIFS(Variants!$A$3:$A$1502,A115,Variants!$K$3:$K$1502,"&lt;&gt;")=0),"price, ","")&amp;IF(T115="","image, ","")&amp;IF(B115="","category, ","")&amp;IF(N(AB115)=0,"variant, ","")&amp;IF(AND(P115="Percentage",N(Q115)&gt;100),"discount over 100%, ","")&amp;IF(AND(P115="Fixed amount",O115&lt;&gt;"",N(Q115)&gt;N(O115)),"discount over price, ",""))-2)))</f>
        <v/>
      </c>
    </row>
    <row r="116" spans="1:29" x14ac:dyDescent="0.3">
      <c r="A116" s="16"/>
      <c r="B116" s="16"/>
      <c r="C116" s="16"/>
      <c r="D116" s="17"/>
      <c r="E116" s="17"/>
      <c r="F116" s="16"/>
      <c r="G116" s="16"/>
      <c r="H116" s="16"/>
      <c r="I116" s="16"/>
      <c r="J116" s="16"/>
      <c r="K116" s="16"/>
      <c r="L116" s="17"/>
      <c r="M116" s="17"/>
      <c r="N116" s="17"/>
      <c r="O116" s="18"/>
      <c r="P116" s="16"/>
      <c r="Q116" s="16"/>
      <c r="R116" s="19" t="str">
        <f t="shared" si="2"/>
        <v/>
      </c>
      <c r="S116" s="19" t="str">
        <f t="shared" si="3"/>
        <v/>
      </c>
      <c r="T116" s="17"/>
      <c r="U116" s="16"/>
      <c r="V116" s="16"/>
      <c r="W116" s="16"/>
      <c r="X116" s="16"/>
      <c r="Y116" s="16"/>
      <c r="Z116" s="16"/>
      <c r="AA116" s="16"/>
      <c r="AB116" s="20" t="str">
        <f>IF(A116="","",COUNTIF(Variants!$A$3:$A$1502,A116))</f>
        <v/>
      </c>
      <c r="AC116" s="21" t="str">
        <f>IF(A116="","",IF(IF(E116="","description, ","")&amp;IF(AND(O116="",COUNTIFS(Variants!$A$3:$A$1502,A116,Variants!$K$3:$K$1502,"&lt;&gt;")=0),"price, ","")&amp;IF(T116="","image, ","")&amp;IF(B116="","category, ","")&amp;IF(N(AB116)=0,"variant, ","")&amp;IF(AND(P116="Percentage",N(Q116)&gt;100),"discount over 100%, ","")&amp;IF(AND(P116="Fixed amount",O116&lt;&gt;"",N(Q116)&gt;N(O116)),"discount over price, ","")="","Ready","Missing: "&amp;LEFT(IF(E116="","description, ","")&amp;IF(AND(O116="",COUNTIFS(Variants!$A$3:$A$1502,A116,Variants!$K$3:$K$1502,"&lt;&gt;")=0),"price, ","")&amp;IF(T116="","image, ","")&amp;IF(B116="","category, ","")&amp;IF(N(AB116)=0,"variant, ","")&amp;IF(AND(P116="Percentage",N(Q116)&gt;100),"discount over 100%, ","")&amp;IF(AND(P116="Fixed amount",O116&lt;&gt;"",N(Q116)&gt;N(O116)),"discount over price, ",""),LEN(IF(E116="","description, ","")&amp;IF(AND(O116="",COUNTIFS(Variants!$A$3:$A$1502,A116,Variants!$K$3:$K$1502,"&lt;&gt;")=0),"price, ","")&amp;IF(T116="","image, ","")&amp;IF(B116="","category, ","")&amp;IF(N(AB116)=0,"variant, ","")&amp;IF(AND(P116="Percentage",N(Q116)&gt;100),"discount over 100%, ","")&amp;IF(AND(P116="Fixed amount",O116&lt;&gt;"",N(Q116)&gt;N(O116)),"discount over price, ",""))-2)))</f>
        <v/>
      </c>
    </row>
    <row r="117" spans="1:29" x14ac:dyDescent="0.3">
      <c r="A117" s="16"/>
      <c r="B117" s="16"/>
      <c r="C117" s="16"/>
      <c r="D117" s="17"/>
      <c r="E117" s="17"/>
      <c r="F117" s="16"/>
      <c r="G117" s="16"/>
      <c r="H117" s="16"/>
      <c r="I117" s="16"/>
      <c r="J117" s="16"/>
      <c r="K117" s="16"/>
      <c r="L117" s="17"/>
      <c r="M117" s="17"/>
      <c r="N117" s="17"/>
      <c r="O117" s="18"/>
      <c r="P117" s="16"/>
      <c r="Q117" s="16"/>
      <c r="R117" s="19" t="str">
        <f t="shared" si="2"/>
        <v/>
      </c>
      <c r="S117" s="19" t="str">
        <f t="shared" si="3"/>
        <v/>
      </c>
      <c r="T117" s="17"/>
      <c r="U117" s="16"/>
      <c r="V117" s="16"/>
      <c r="W117" s="16"/>
      <c r="X117" s="16"/>
      <c r="Y117" s="16"/>
      <c r="Z117" s="16"/>
      <c r="AA117" s="16"/>
      <c r="AB117" s="20" t="str">
        <f>IF(A117="","",COUNTIF(Variants!$A$3:$A$1502,A117))</f>
        <v/>
      </c>
      <c r="AC117" s="21" t="str">
        <f>IF(A117="","",IF(IF(E117="","description, ","")&amp;IF(AND(O117="",COUNTIFS(Variants!$A$3:$A$1502,A117,Variants!$K$3:$K$1502,"&lt;&gt;")=0),"price, ","")&amp;IF(T117="","image, ","")&amp;IF(B117="","category, ","")&amp;IF(N(AB117)=0,"variant, ","")&amp;IF(AND(P117="Percentage",N(Q117)&gt;100),"discount over 100%, ","")&amp;IF(AND(P117="Fixed amount",O117&lt;&gt;"",N(Q117)&gt;N(O117)),"discount over price, ","")="","Ready","Missing: "&amp;LEFT(IF(E117="","description, ","")&amp;IF(AND(O117="",COUNTIFS(Variants!$A$3:$A$1502,A117,Variants!$K$3:$K$1502,"&lt;&gt;")=0),"price, ","")&amp;IF(T117="","image, ","")&amp;IF(B117="","category, ","")&amp;IF(N(AB117)=0,"variant, ","")&amp;IF(AND(P117="Percentage",N(Q117)&gt;100),"discount over 100%, ","")&amp;IF(AND(P117="Fixed amount",O117&lt;&gt;"",N(Q117)&gt;N(O117)),"discount over price, ",""),LEN(IF(E117="","description, ","")&amp;IF(AND(O117="",COUNTIFS(Variants!$A$3:$A$1502,A117,Variants!$K$3:$K$1502,"&lt;&gt;")=0),"price, ","")&amp;IF(T117="","image, ","")&amp;IF(B117="","category, ","")&amp;IF(N(AB117)=0,"variant, ","")&amp;IF(AND(P117="Percentage",N(Q117)&gt;100),"discount over 100%, ","")&amp;IF(AND(P117="Fixed amount",O117&lt;&gt;"",N(Q117)&gt;N(O117)),"discount over price, ",""))-2)))</f>
        <v/>
      </c>
    </row>
    <row r="118" spans="1:29" x14ac:dyDescent="0.3">
      <c r="A118" s="16"/>
      <c r="B118" s="16"/>
      <c r="C118" s="16"/>
      <c r="D118" s="17"/>
      <c r="E118" s="17"/>
      <c r="F118" s="16"/>
      <c r="G118" s="16"/>
      <c r="H118" s="16"/>
      <c r="I118" s="16"/>
      <c r="J118" s="16"/>
      <c r="K118" s="16"/>
      <c r="L118" s="17"/>
      <c r="M118" s="17"/>
      <c r="N118" s="17"/>
      <c r="O118" s="18"/>
      <c r="P118" s="16"/>
      <c r="Q118" s="16"/>
      <c r="R118" s="19" t="str">
        <f t="shared" si="2"/>
        <v/>
      </c>
      <c r="S118" s="19" t="str">
        <f t="shared" si="3"/>
        <v/>
      </c>
      <c r="T118" s="17"/>
      <c r="U118" s="16"/>
      <c r="V118" s="16"/>
      <c r="W118" s="16"/>
      <c r="X118" s="16"/>
      <c r="Y118" s="16"/>
      <c r="Z118" s="16"/>
      <c r="AA118" s="16"/>
      <c r="AB118" s="20" t="str">
        <f>IF(A118="","",COUNTIF(Variants!$A$3:$A$1502,A118))</f>
        <v/>
      </c>
      <c r="AC118" s="21" t="str">
        <f>IF(A118="","",IF(IF(E118="","description, ","")&amp;IF(AND(O118="",COUNTIFS(Variants!$A$3:$A$1502,A118,Variants!$K$3:$K$1502,"&lt;&gt;")=0),"price, ","")&amp;IF(T118="","image, ","")&amp;IF(B118="","category, ","")&amp;IF(N(AB118)=0,"variant, ","")&amp;IF(AND(P118="Percentage",N(Q118)&gt;100),"discount over 100%, ","")&amp;IF(AND(P118="Fixed amount",O118&lt;&gt;"",N(Q118)&gt;N(O118)),"discount over price, ","")="","Ready","Missing: "&amp;LEFT(IF(E118="","description, ","")&amp;IF(AND(O118="",COUNTIFS(Variants!$A$3:$A$1502,A118,Variants!$K$3:$K$1502,"&lt;&gt;")=0),"price, ","")&amp;IF(T118="","image, ","")&amp;IF(B118="","category, ","")&amp;IF(N(AB118)=0,"variant, ","")&amp;IF(AND(P118="Percentage",N(Q118)&gt;100),"discount over 100%, ","")&amp;IF(AND(P118="Fixed amount",O118&lt;&gt;"",N(Q118)&gt;N(O118)),"discount over price, ",""),LEN(IF(E118="","description, ","")&amp;IF(AND(O118="",COUNTIFS(Variants!$A$3:$A$1502,A118,Variants!$K$3:$K$1502,"&lt;&gt;")=0),"price, ","")&amp;IF(T118="","image, ","")&amp;IF(B118="","category, ","")&amp;IF(N(AB118)=0,"variant, ","")&amp;IF(AND(P118="Percentage",N(Q118)&gt;100),"discount over 100%, ","")&amp;IF(AND(P118="Fixed amount",O118&lt;&gt;"",N(Q118)&gt;N(O118)),"discount over price, ",""))-2)))</f>
        <v/>
      </c>
    </row>
    <row r="119" spans="1:29" x14ac:dyDescent="0.3">
      <c r="A119" s="16"/>
      <c r="B119" s="16"/>
      <c r="C119" s="16"/>
      <c r="D119" s="17"/>
      <c r="E119" s="17"/>
      <c r="F119" s="16"/>
      <c r="G119" s="16"/>
      <c r="H119" s="16"/>
      <c r="I119" s="16"/>
      <c r="J119" s="16"/>
      <c r="K119" s="16"/>
      <c r="L119" s="17"/>
      <c r="M119" s="17"/>
      <c r="N119" s="17"/>
      <c r="O119" s="18"/>
      <c r="P119" s="16"/>
      <c r="Q119" s="16"/>
      <c r="R119" s="19" t="str">
        <f t="shared" si="2"/>
        <v/>
      </c>
      <c r="S119" s="19" t="str">
        <f t="shared" si="3"/>
        <v/>
      </c>
      <c r="T119" s="17"/>
      <c r="U119" s="16"/>
      <c r="V119" s="16"/>
      <c r="W119" s="16"/>
      <c r="X119" s="16"/>
      <c r="Y119" s="16"/>
      <c r="Z119" s="16"/>
      <c r="AA119" s="16"/>
      <c r="AB119" s="20" t="str">
        <f>IF(A119="","",COUNTIF(Variants!$A$3:$A$1502,A119))</f>
        <v/>
      </c>
      <c r="AC119" s="21" t="str">
        <f>IF(A119="","",IF(IF(E119="","description, ","")&amp;IF(AND(O119="",COUNTIFS(Variants!$A$3:$A$1502,A119,Variants!$K$3:$K$1502,"&lt;&gt;")=0),"price, ","")&amp;IF(T119="","image, ","")&amp;IF(B119="","category, ","")&amp;IF(N(AB119)=0,"variant, ","")&amp;IF(AND(P119="Percentage",N(Q119)&gt;100),"discount over 100%, ","")&amp;IF(AND(P119="Fixed amount",O119&lt;&gt;"",N(Q119)&gt;N(O119)),"discount over price, ","")="","Ready","Missing: "&amp;LEFT(IF(E119="","description, ","")&amp;IF(AND(O119="",COUNTIFS(Variants!$A$3:$A$1502,A119,Variants!$K$3:$K$1502,"&lt;&gt;")=0),"price, ","")&amp;IF(T119="","image, ","")&amp;IF(B119="","category, ","")&amp;IF(N(AB119)=0,"variant, ","")&amp;IF(AND(P119="Percentage",N(Q119)&gt;100),"discount over 100%, ","")&amp;IF(AND(P119="Fixed amount",O119&lt;&gt;"",N(Q119)&gt;N(O119)),"discount over price, ",""),LEN(IF(E119="","description, ","")&amp;IF(AND(O119="",COUNTIFS(Variants!$A$3:$A$1502,A119,Variants!$K$3:$K$1502,"&lt;&gt;")=0),"price, ","")&amp;IF(T119="","image, ","")&amp;IF(B119="","category, ","")&amp;IF(N(AB119)=0,"variant, ","")&amp;IF(AND(P119="Percentage",N(Q119)&gt;100),"discount over 100%, ","")&amp;IF(AND(P119="Fixed amount",O119&lt;&gt;"",N(Q119)&gt;N(O119)),"discount over price, ",""))-2)))</f>
        <v/>
      </c>
    </row>
    <row r="120" spans="1:29" x14ac:dyDescent="0.3">
      <c r="A120" s="16"/>
      <c r="B120" s="16"/>
      <c r="C120" s="16"/>
      <c r="D120" s="17"/>
      <c r="E120" s="17"/>
      <c r="F120" s="16"/>
      <c r="G120" s="16"/>
      <c r="H120" s="16"/>
      <c r="I120" s="16"/>
      <c r="J120" s="16"/>
      <c r="K120" s="16"/>
      <c r="L120" s="17"/>
      <c r="M120" s="17"/>
      <c r="N120" s="17"/>
      <c r="O120" s="18"/>
      <c r="P120" s="16"/>
      <c r="Q120" s="16"/>
      <c r="R120" s="19" t="str">
        <f t="shared" si="2"/>
        <v/>
      </c>
      <c r="S120" s="19" t="str">
        <f t="shared" si="3"/>
        <v/>
      </c>
      <c r="T120" s="17"/>
      <c r="U120" s="16"/>
      <c r="V120" s="16"/>
      <c r="W120" s="16"/>
      <c r="X120" s="16"/>
      <c r="Y120" s="16"/>
      <c r="Z120" s="16"/>
      <c r="AA120" s="16"/>
      <c r="AB120" s="20" t="str">
        <f>IF(A120="","",COUNTIF(Variants!$A$3:$A$1502,A120))</f>
        <v/>
      </c>
      <c r="AC120" s="21" t="str">
        <f>IF(A120="","",IF(IF(E120="","description, ","")&amp;IF(AND(O120="",COUNTIFS(Variants!$A$3:$A$1502,A120,Variants!$K$3:$K$1502,"&lt;&gt;")=0),"price, ","")&amp;IF(T120="","image, ","")&amp;IF(B120="","category, ","")&amp;IF(N(AB120)=0,"variant, ","")&amp;IF(AND(P120="Percentage",N(Q120)&gt;100),"discount over 100%, ","")&amp;IF(AND(P120="Fixed amount",O120&lt;&gt;"",N(Q120)&gt;N(O120)),"discount over price, ","")="","Ready","Missing: "&amp;LEFT(IF(E120="","description, ","")&amp;IF(AND(O120="",COUNTIFS(Variants!$A$3:$A$1502,A120,Variants!$K$3:$K$1502,"&lt;&gt;")=0),"price, ","")&amp;IF(T120="","image, ","")&amp;IF(B120="","category, ","")&amp;IF(N(AB120)=0,"variant, ","")&amp;IF(AND(P120="Percentage",N(Q120)&gt;100),"discount over 100%, ","")&amp;IF(AND(P120="Fixed amount",O120&lt;&gt;"",N(Q120)&gt;N(O120)),"discount over price, ",""),LEN(IF(E120="","description, ","")&amp;IF(AND(O120="",COUNTIFS(Variants!$A$3:$A$1502,A120,Variants!$K$3:$K$1502,"&lt;&gt;")=0),"price, ","")&amp;IF(T120="","image, ","")&amp;IF(B120="","category, ","")&amp;IF(N(AB120)=0,"variant, ","")&amp;IF(AND(P120="Percentage",N(Q120)&gt;100),"discount over 100%, ","")&amp;IF(AND(P120="Fixed amount",O120&lt;&gt;"",N(Q120)&gt;N(O120)),"discount over price, ",""))-2)))</f>
        <v/>
      </c>
    </row>
    <row r="121" spans="1:29" x14ac:dyDescent="0.3">
      <c r="A121" s="16"/>
      <c r="B121" s="16"/>
      <c r="C121" s="16"/>
      <c r="D121" s="17"/>
      <c r="E121" s="17"/>
      <c r="F121" s="16"/>
      <c r="G121" s="16"/>
      <c r="H121" s="16"/>
      <c r="I121" s="16"/>
      <c r="J121" s="16"/>
      <c r="K121" s="16"/>
      <c r="L121" s="17"/>
      <c r="M121" s="17"/>
      <c r="N121" s="17"/>
      <c r="O121" s="18"/>
      <c r="P121" s="16"/>
      <c r="Q121" s="16"/>
      <c r="R121" s="19" t="str">
        <f t="shared" si="2"/>
        <v/>
      </c>
      <c r="S121" s="19" t="str">
        <f t="shared" si="3"/>
        <v/>
      </c>
      <c r="T121" s="17"/>
      <c r="U121" s="16"/>
      <c r="V121" s="16"/>
      <c r="W121" s="16"/>
      <c r="X121" s="16"/>
      <c r="Y121" s="16"/>
      <c r="Z121" s="16"/>
      <c r="AA121" s="16"/>
      <c r="AB121" s="20" t="str">
        <f>IF(A121="","",COUNTIF(Variants!$A$3:$A$1502,A121))</f>
        <v/>
      </c>
      <c r="AC121" s="21" t="str">
        <f>IF(A121="","",IF(IF(E121="","description, ","")&amp;IF(AND(O121="",COUNTIFS(Variants!$A$3:$A$1502,A121,Variants!$K$3:$K$1502,"&lt;&gt;")=0),"price, ","")&amp;IF(T121="","image, ","")&amp;IF(B121="","category, ","")&amp;IF(N(AB121)=0,"variant, ","")&amp;IF(AND(P121="Percentage",N(Q121)&gt;100),"discount over 100%, ","")&amp;IF(AND(P121="Fixed amount",O121&lt;&gt;"",N(Q121)&gt;N(O121)),"discount over price, ","")="","Ready","Missing: "&amp;LEFT(IF(E121="","description, ","")&amp;IF(AND(O121="",COUNTIFS(Variants!$A$3:$A$1502,A121,Variants!$K$3:$K$1502,"&lt;&gt;")=0),"price, ","")&amp;IF(T121="","image, ","")&amp;IF(B121="","category, ","")&amp;IF(N(AB121)=0,"variant, ","")&amp;IF(AND(P121="Percentage",N(Q121)&gt;100),"discount over 100%, ","")&amp;IF(AND(P121="Fixed amount",O121&lt;&gt;"",N(Q121)&gt;N(O121)),"discount over price, ",""),LEN(IF(E121="","description, ","")&amp;IF(AND(O121="",COUNTIFS(Variants!$A$3:$A$1502,A121,Variants!$K$3:$K$1502,"&lt;&gt;")=0),"price, ","")&amp;IF(T121="","image, ","")&amp;IF(B121="","category, ","")&amp;IF(N(AB121)=0,"variant, ","")&amp;IF(AND(P121="Percentage",N(Q121)&gt;100),"discount over 100%, ","")&amp;IF(AND(P121="Fixed amount",O121&lt;&gt;"",N(Q121)&gt;N(O121)),"discount over price, ",""))-2)))</f>
        <v/>
      </c>
    </row>
    <row r="122" spans="1:29" x14ac:dyDescent="0.3">
      <c r="A122" s="16"/>
      <c r="B122" s="16"/>
      <c r="C122" s="16"/>
      <c r="D122" s="17"/>
      <c r="E122" s="17"/>
      <c r="F122" s="16"/>
      <c r="G122" s="16"/>
      <c r="H122" s="16"/>
      <c r="I122" s="16"/>
      <c r="J122" s="16"/>
      <c r="K122" s="16"/>
      <c r="L122" s="17"/>
      <c r="M122" s="17"/>
      <c r="N122" s="17"/>
      <c r="O122" s="18"/>
      <c r="P122" s="16"/>
      <c r="Q122" s="16"/>
      <c r="R122" s="19" t="str">
        <f t="shared" si="2"/>
        <v/>
      </c>
      <c r="S122" s="19" t="str">
        <f t="shared" si="3"/>
        <v/>
      </c>
      <c r="T122" s="17"/>
      <c r="U122" s="16"/>
      <c r="V122" s="16"/>
      <c r="W122" s="16"/>
      <c r="X122" s="16"/>
      <c r="Y122" s="16"/>
      <c r="Z122" s="16"/>
      <c r="AA122" s="16"/>
      <c r="AB122" s="20" t="str">
        <f>IF(A122="","",COUNTIF(Variants!$A$3:$A$1502,A122))</f>
        <v/>
      </c>
      <c r="AC122" s="21" t="str">
        <f>IF(A122="","",IF(IF(E122="","description, ","")&amp;IF(AND(O122="",COUNTIFS(Variants!$A$3:$A$1502,A122,Variants!$K$3:$K$1502,"&lt;&gt;")=0),"price, ","")&amp;IF(T122="","image, ","")&amp;IF(B122="","category, ","")&amp;IF(N(AB122)=0,"variant, ","")&amp;IF(AND(P122="Percentage",N(Q122)&gt;100),"discount over 100%, ","")&amp;IF(AND(P122="Fixed amount",O122&lt;&gt;"",N(Q122)&gt;N(O122)),"discount over price, ","")="","Ready","Missing: "&amp;LEFT(IF(E122="","description, ","")&amp;IF(AND(O122="",COUNTIFS(Variants!$A$3:$A$1502,A122,Variants!$K$3:$K$1502,"&lt;&gt;")=0),"price, ","")&amp;IF(T122="","image, ","")&amp;IF(B122="","category, ","")&amp;IF(N(AB122)=0,"variant, ","")&amp;IF(AND(P122="Percentage",N(Q122)&gt;100),"discount over 100%, ","")&amp;IF(AND(P122="Fixed amount",O122&lt;&gt;"",N(Q122)&gt;N(O122)),"discount over price, ",""),LEN(IF(E122="","description, ","")&amp;IF(AND(O122="",COUNTIFS(Variants!$A$3:$A$1502,A122,Variants!$K$3:$K$1502,"&lt;&gt;")=0),"price, ","")&amp;IF(T122="","image, ","")&amp;IF(B122="","category, ","")&amp;IF(N(AB122)=0,"variant, ","")&amp;IF(AND(P122="Percentage",N(Q122)&gt;100),"discount over 100%, ","")&amp;IF(AND(P122="Fixed amount",O122&lt;&gt;"",N(Q122)&gt;N(O122)),"discount over price, ",""))-2)))</f>
        <v/>
      </c>
    </row>
    <row r="123" spans="1:29" x14ac:dyDescent="0.3">
      <c r="A123" s="16"/>
      <c r="B123" s="16"/>
      <c r="C123" s="16"/>
      <c r="D123" s="17"/>
      <c r="E123" s="17"/>
      <c r="F123" s="16"/>
      <c r="G123" s="16"/>
      <c r="H123" s="16"/>
      <c r="I123" s="16"/>
      <c r="J123" s="16"/>
      <c r="K123" s="16"/>
      <c r="L123" s="17"/>
      <c r="M123" s="17"/>
      <c r="N123" s="17"/>
      <c r="O123" s="18"/>
      <c r="P123" s="16"/>
      <c r="Q123" s="16"/>
      <c r="R123" s="19" t="str">
        <f t="shared" si="2"/>
        <v/>
      </c>
      <c r="S123" s="19" t="str">
        <f t="shared" si="3"/>
        <v/>
      </c>
      <c r="T123" s="17"/>
      <c r="U123" s="16"/>
      <c r="V123" s="16"/>
      <c r="W123" s="16"/>
      <c r="X123" s="16"/>
      <c r="Y123" s="16"/>
      <c r="Z123" s="16"/>
      <c r="AA123" s="16"/>
      <c r="AB123" s="20" t="str">
        <f>IF(A123="","",COUNTIF(Variants!$A$3:$A$1502,A123))</f>
        <v/>
      </c>
      <c r="AC123" s="21" t="str">
        <f>IF(A123="","",IF(IF(E123="","description, ","")&amp;IF(AND(O123="",COUNTIFS(Variants!$A$3:$A$1502,A123,Variants!$K$3:$K$1502,"&lt;&gt;")=0),"price, ","")&amp;IF(T123="","image, ","")&amp;IF(B123="","category, ","")&amp;IF(N(AB123)=0,"variant, ","")&amp;IF(AND(P123="Percentage",N(Q123)&gt;100),"discount over 100%, ","")&amp;IF(AND(P123="Fixed amount",O123&lt;&gt;"",N(Q123)&gt;N(O123)),"discount over price, ","")="","Ready","Missing: "&amp;LEFT(IF(E123="","description, ","")&amp;IF(AND(O123="",COUNTIFS(Variants!$A$3:$A$1502,A123,Variants!$K$3:$K$1502,"&lt;&gt;")=0),"price, ","")&amp;IF(T123="","image, ","")&amp;IF(B123="","category, ","")&amp;IF(N(AB123)=0,"variant, ","")&amp;IF(AND(P123="Percentage",N(Q123)&gt;100),"discount over 100%, ","")&amp;IF(AND(P123="Fixed amount",O123&lt;&gt;"",N(Q123)&gt;N(O123)),"discount over price, ",""),LEN(IF(E123="","description, ","")&amp;IF(AND(O123="",COUNTIFS(Variants!$A$3:$A$1502,A123,Variants!$K$3:$K$1502,"&lt;&gt;")=0),"price, ","")&amp;IF(T123="","image, ","")&amp;IF(B123="","category, ","")&amp;IF(N(AB123)=0,"variant, ","")&amp;IF(AND(P123="Percentage",N(Q123)&gt;100),"discount over 100%, ","")&amp;IF(AND(P123="Fixed amount",O123&lt;&gt;"",N(Q123)&gt;N(O123)),"discount over price, ",""))-2)))</f>
        <v/>
      </c>
    </row>
    <row r="124" spans="1:29" x14ac:dyDescent="0.3">
      <c r="A124" s="16"/>
      <c r="B124" s="16"/>
      <c r="C124" s="16"/>
      <c r="D124" s="17"/>
      <c r="E124" s="17"/>
      <c r="F124" s="16"/>
      <c r="G124" s="16"/>
      <c r="H124" s="16"/>
      <c r="I124" s="16"/>
      <c r="J124" s="16"/>
      <c r="K124" s="16"/>
      <c r="L124" s="17"/>
      <c r="M124" s="17"/>
      <c r="N124" s="17"/>
      <c r="O124" s="18"/>
      <c r="P124" s="16"/>
      <c r="Q124" s="16"/>
      <c r="R124" s="19" t="str">
        <f t="shared" si="2"/>
        <v/>
      </c>
      <c r="S124" s="19" t="str">
        <f t="shared" si="3"/>
        <v/>
      </c>
      <c r="T124" s="17"/>
      <c r="U124" s="16"/>
      <c r="V124" s="16"/>
      <c r="W124" s="16"/>
      <c r="X124" s="16"/>
      <c r="Y124" s="16"/>
      <c r="Z124" s="16"/>
      <c r="AA124" s="16"/>
      <c r="AB124" s="20" t="str">
        <f>IF(A124="","",COUNTIF(Variants!$A$3:$A$1502,A124))</f>
        <v/>
      </c>
      <c r="AC124" s="21" t="str">
        <f>IF(A124="","",IF(IF(E124="","description, ","")&amp;IF(AND(O124="",COUNTIFS(Variants!$A$3:$A$1502,A124,Variants!$K$3:$K$1502,"&lt;&gt;")=0),"price, ","")&amp;IF(T124="","image, ","")&amp;IF(B124="","category, ","")&amp;IF(N(AB124)=0,"variant, ","")&amp;IF(AND(P124="Percentage",N(Q124)&gt;100),"discount over 100%, ","")&amp;IF(AND(P124="Fixed amount",O124&lt;&gt;"",N(Q124)&gt;N(O124)),"discount over price, ","")="","Ready","Missing: "&amp;LEFT(IF(E124="","description, ","")&amp;IF(AND(O124="",COUNTIFS(Variants!$A$3:$A$1502,A124,Variants!$K$3:$K$1502,"&lt;&gt;")=0),"price, ","")&amp;IF(T124="","image, ","")&amp;IF(B124="","category, ","")&amp;IF(N(AB124)=0,"variant, ","")&amp;IF(AND(P124="Percentage",N(Q124)&gt;100),"discount over 100%, ","")&amp;IF(AND(P124="Fixed amount",O124&lt;&gt;"",N(Q124)&gt;N(O124)),"discount over price, ",""),LEN(IF(E124="","description, ","")&amp;IF(AND(O124="",COUNTIFS(Variants!$A$3:$A$1502,A124,Variants!$K$3:$K$1502,"&lt;&gt;")=0),"price, ","")&amp;IF(T124="","image, ","")&amp;IF(B124="","category, ","")&amp;IF(N(AB124)=0,"variant, ","")&amp;IF(AND(P124="Percentage",N(Q124)&gt;100),"discount over 100%, ","")&amp;IF(AND(P124="Fixed amount",O124&lt;&gt;"",N(Q124)&gt;N(O124)),"discount over price, ",""))-2)))</f>
        <v/>
      </c>
    </row>
    <row r="125" spans="1:29" x14ac:dyDescent="0.3">
      <c r="A125" s="16"/>
      <c r="B125" s="16"/>
      <c r="C125" s="16"/>
      <c r="D125" s="17"/>
      <c r="E125" s="17"/>
      <c r="F125" s="16"/>
      <c r="G125" s="16"/>
      <c r="H125" s="16"/>
      <c r="I125" s="16"/>
      <c r="J125" s="16"/>
      <c r="K125" s="16"/>
      <c r="L125" s="17"/>
      <c r="M125" s="17"/>
      <c r="N125" s="17"/>
      <c r="O125" s="18"/>
      <c r="P125" s="16"/>
      <c r="Q125" s="16"/>
      <c r="R125" s="19" t="str">
        <f t="shared" si="2"/>
        <v/>
      </c>
      <c r="S125" s="19" t="str">
        <f t="shared" si="3"/>
        <v/>
      </c>
      <c r="T125" s="17"/>
      <c r="U125" s="16"/>
      <c r="V125" s="16"/>
      <c r="W125" s="16"/>
      <c r="X125" s="16"/>
      <c r="Y125" s="16"/>
      <c r="Z125" s="16"/>
      <c r="AA125" s="16"/>
      <c r="AB125" s="20" t="str">
        <f>IF(A125="","",COUNTIF(Variants!$A$3:$A$1502,A125))</f>
        <v/>
      </c>
      <c r="AC125" s="21" t="str">
        <f>IF(A125="","",IF(IF(E125="","description, ","")&amp;IF(AND(O125="",COUNTIFS(Variants!$A$3:$A$1502,A125,Variants!$K$3:$K$1502,"&lt;&gt;")=0),"price, ","")&amp;IF(T125="","image, ","")&amp;IF(B125="","category, ","")&amp;IF(N(AB125)=0,"variant, ","")&amp;IF(AND(P125="Percentage",N(Q125)&gt;100),"discount over 100%, ","")&amp;IF(AND(P125="Fixed amount",O125&lt;&gt;"",N(Q125)&gt;N(O125)),"discount over price, ","")="","Ready","Missing: "&amp;LEFT(IF(E125="","description, ","")&amp;IF(AND(O125="",COUNTIFS(Variants!$A$3:$A$1502,A125,Variants!$K$3:$K$1502,"&lt;&gt;")=0),"price, ","")&amp;IF(T125="","image, ","")&amp;IF(B125="","category, ","")&amp;IF(N(AB125)=0,"variant, ","")&amp;IF(AND(P125="Percentage",N(Q125)&gt;100),"discount over 100%, ","")&amp;IF(AND(P125="Fixed amount",O125&lt;&gt;"",N(Q125)&gt;N(O125)),"discount over price, ",""),LEN(IF(E125="","description, ","")&amp;IF(AND(O125="",COUNTIFS(Variants!$A$3:$A$1502,A125,Variants!$K$3:$K$1502,"&lt;&gt;")=0),"price, ","")&amp;IF(T125="","image, ","")&amp;IF(B125="","category, ","")&amp;IF(N(AB125)=0,"variant, ","")&amp;IF(AND(P125="Percentage",N(Q125)&gt;100),"discount over 100%, ","")&amp;IF(AND(P125="Fixed amount",O125&lt;&gt;"",N(Q125)&gt;N(O125)),"discount over price, ",""))-2)))</f>
        <v/>
      </c>
    </row>
    <row r="126" spans="1:29" x14ac:dyDescent="0.3">
      <c r="A126" s="16"/>
      <c r="B126" s="16"/>
      <c r="C126" s="16"/>
      <c r="D126" s="17"/>
      <c r="E126" s="17"/>
      <c r="F126" s="16"/>
      <c r="G126" s="16"/>
      <c r="H126" s="16"/>
      <c r="I126" s="16"/>
      <c r="J126" s="16"/>
      <c r="K126" s="16"/>
      <c r="L126" s="17"/>
      <c r="M126" s="17"/>
      <c r="N126" s="17"/>
      <c r="O126" s="18"/>
      <c r="P126" s="16"/>
      <c r="Q126" s="16"/>
      <c r="R126" s="19" t="str">
        <f t="shared" si="2"/>
        <v/>
      </c>
      <c r="S126" s="19" t="str">
        <f t="shared" si="3"/>
        <v/>
      </c>
      <c r="T126" s="17"/>
      <c r="U126" s="16"/>
      <c r="V126" s="16"/>
      <c r="W126" s="16"/>
      <c r="X126" s="16"/>
      <c r="Y126" s="16"/>
      <c r="Z126" s="16"/>
      <c r="AA126" s="16"/>
      <c r="AB126" s="20" t="str">
        <f>IF(A126="","",COUNTIF(Variants!$A$3:$A$1502,A126))</f>
        <v/>
      </c>
      <c r="AC126" s="21" t="str">
        <f>IF(A126="","",IF(IF(E126="","description, ","")&amp;IF(AND(O126="",COUNTIFS(Variants!$A$3:$A$1502,A126,Variants!$K$3:$K$1502,"&lt;&gt;")=0),"price, ","")&amp;IF(T126="","image, ","")&amp;IF(B126="","category, ","")&amp;IF(N(AB126)=0,"variant, ","")&amp;IF(AND(P126="Percentage",N(Q126)&gt;100),"discount over 100%, ","")&amp;IF(AND(P126="Fixed amount",O126&lt;&gt;"",N(Q126)&gt;N(O126)),"discount over price, ","")="","Ready","Missing: "&amp;LEFT(IF(E126="","description, ","")&amp;IF(AND(O126="",COUNTIFS(Variants!$A$3:$A$1502,A126,Variants!$K$3:$K$1502,"&lt;&gt;")=0),"price, ","")&amp;IF(T126="","image, ","")&amp;IF(B126="","category, ","")&amp;IF(N(AB126)=0,"variant, ","")&amp;IF(AND(P126="Percentage",N(Q126)&gt;100),"discount over 100%, ","")&amp;IF(AND(P126="Fixed amount",O126&lt;&gt;"",N(Q126)&gt;N(O126)),"discount over price, ",""),LEN(IF(E126="","description, ","")&amp;IF(AND(O126="",COUNTIFS(Variants!$A$3:$A$1502,A126,Variants!$K$3:$K$1502,"&lt;&gt;")=0),"price, ","")&amp;IF(T126="","image, ","")&amp;IF(B126="","category, ","")&amp;IF(N(AB126)=0,"variant, ","")&amp;IF(AND(P126="Percentage",N(Q126)&gt;100),"discount over 100%, ","")&amp;IF(AND(P126="Fixed amount",O126&lt;&gt;"",N(Q126)&gt;N(O126)),"discount over price, ",""))-2)))</f>
        <v/>
      </c>
    </row>
    <row r="127" spans="1:29" x14ac:dyDescent="0.3">
      <c r="A127" s="16"/>
      <c r="B127" s="16"/>
      <c r="C127" s="16"/>
      <c r="D127" s="17"/>
      <c r="E127" s="17"/>
      <c r="F127" s="16"/>
      <c r="G127" s="16"/>
      <c r="H127" s="16"/>
      <c r="I127" s="16"/>
      <c r="J127" s="16"/>
      <c r="K127" s="16"/>
      <c r="L127" s="17"/>
      <c r="M127" s="17"/>
      <c r="N127" s="17"/>
      <c r="O127" s="18"/>
      <c r="P127" s="16"/>
      <c r="Q127" s="16"/>
      <c r="R127" s="19" t="str">
        <f t="shared" si="2"/>
        <v/>
      </c>
      <c r="S127" s="19" t="str">
        <f t="shared" si="3"/>
        <v/>
      </c>
      <c r="T127" s="17"/>
      <c r="U127" s="16"/>
      <c r="V127" s="16"/>
      <c r="W127" s="16"/>
      <c r="X127" s="16"/>
      <c r="Y127" s="16"/>
      <c r="Z127" s="16"/>
      <c r="AA127" s="16"/>
      <c r="AB127" s="20" t="str">
        <f>IF(A127="","",COUNTIF(Variants!$A$3:$A$1502,A127))</f>
        <v/>
      </c>
      <c r="AC127" s="21" t="str">
        <f>IF(A127="","",IF(IF(E127="","description, ","")&amp;IF(AND(O127="",COUNTIFS(Variants!$A$3:$A$1502,A127,Variants!$K$3:$K$1502,"&lt;&gt;")=0),"price, ","")&amp;IF(T127="","image, ","")&amp;IF(B127="","category, ","")&amp;IF(N(AB127)=0,"variant, ","")&amp;IF(AND(P127="Percentage",N(Q127)&gt;100),"discount over 100%, ","")&amp;IF(AND(P127="Fixed amount",O127&lt;&gt;"",N(Q127)&gt;N(O127)),"discount over price, ","")="","Ready","Missing: "&amp;LEFT(IF(E127="","description, ","")&amp;IF(AND(O127="",COUNTIFS(Variants!$A$3:$A$1502,A127,Variants!$K$3:$K$1502,"&lt;&gt;")=0),"price, ","")&amp;IF(T127="","image, ","")&amp;IF(B127="","category, ","")&amp;IF(N(AB127)=0,"variant, ","")&amp;IF(AND(P127="Percentage",N(Q127)&gt;100),"discount over 100%, ","")&amp;IF(AND(P127="Fixed amount",O127&lt;&gt;"",N(Q127)&gt;N(O127)),"discount over price, ",""),LEN(IF(E127="","description, ","")&amp;IF(AND(O127="",COUNTIFS(Variants!$A$3:$A$1502,A127,Variants!$K$3:$K$1502,"&lt;&gt;")=0),"price, ","")&amp;IF(T127="","image, ","")&amp;IF(B127="","category, ","")&amp;IF(N(AB127)=0,"variant, ","")&amp;IF(AND(P127="Percentage",N(Q127)&gt;100),"discount over 100%, ","")&amp;IF(AND(P127="Fixed amount",O127&lt;&gt;"",N(Q127)&gt;N(O127)),"discount over price, ",""))-2)))</f>
        <v/>
      </c>
    </row>
    <row r="128" spans="1:29" x14ac:dyDescent="0.3">
      <c r="A128" s="16"/>
      <c r="B128" s="16"/>
      <c r="C128" s="16"/>
      <c r="D128" s="17"/>
      <c r="E128" s="17"/>
      <c r="F128" s="16"/>
      <c r="G128" s="16"/>
      <c r="H128" s="16"/>
      <c r="I128" s="16"/>
      <c r="J128" s="16"/>
      <c r="K128" s="16"/>
      <c r="L128" s="17"/>
      <c r="M128" s="17"/>
      <c r="N128" s="17"/>
      <c r="O128" s="18"/>
      <c r="P128" s="16"/>
      <c r="Q128" s="16"/>
      <c r="R128" s="19" t="str">
        <f t="shared" si="2"/>
        <v/>
      </c>
      <c r="S128" s="19" t="str">
        <f t="shared" si="3"/>
        <v/>
      </c>
      <c r="T128" s="17"/>
      <c r="U128" s="16"/>
      <c r="V128" s="16"/>
      <c r="W128" s="16"/>
      <c r="X128" s="16"/>
      <c r="Y128" s="16"/>
      <c r="Z128" s="16"/>
      <c r="AA128" s="16"/>
      <c r="AB128" s="20" t="str">
        <f>IF(A128="","",COUNTIF(Variants!$A$3:$A$1502,A128))</f>
        <v/>
      </c>
      <c r="AC128" s="21" t="str">
        <f>IF(A128="","",IF(IF(E128="","description, ","")&amp;IF(AND(O128="",COUNTIFS(Variants!$A$3:$A$1502,A128,Variants!$K$3:$K$1502,"&lt;&gt;")=0),"price, ","")&amp;IF(T128="","image, ","")&amp;IF(B128="","category, ","")&amp;IF(N(AB128)=0,"variant, ","")&amp;IF(AND(P128="Percentage",N(Q128)&gt;100),"discount over 100%, ","")&amp;IF(AND(P128="Fixed amount",O128&lt;&gt;"",N(Q128)&gt;N(O128)),"discount over price, ","")="","Ready","Missing: "&amp;LEFT(IF(E128="","description, ","")&amp;IF(AND(O128="",COUNTIFS(Variants!$A$3:$A$1502,A128,Variants!$K$3:$K$1502,"&lt;&gt;")=0),"price, ","")&amp;IF(T128="","image, ","")&amp;IF(B128="","category, ","")&amp;IF(N(AB128)=0,"variant, ","")&amp;IF(AND(P128="Percentage",N(Q128)&gt;100),"discount over 100%, ","")&amp;IF(AND(P128="Fixed amount",O128&lt;&gt;"",N(Q128)&gt;N(O128)),"discount over price, ",""),LEN(IF(E128="","description, ","")&amp;IF(AND(O128="",COUNTIFS(Variants!$A$3:$A$1502,A128,Variants!$K$3:$K$1502,"&lt;&gt;")=0),"price, ","")&amp;IF(T128="","image, ","")&amp;IF(B128="","category, ","")&amp;IF(N(AB128)=0,"variant, ","")&amp;IF(AND(P128="Percentage",N(Q128)&gt;100),"discount over 100%, ","")&amp;IF(AND(P128="Fixed amount",O128&lt;&gt;"",N(Q128)&gt;N(O128)),"discount over price, ",""))-2)))</f>
        <v/>
      </c>
    </row>
    <row r="129" spans="1:29" x14ac:dyDescent="0.3">
      <c r="A129" s="16"/>
      <c r="B129" s="16"/>
      <c r="C129" s="16"/>
      <c r="D129" s="17"/>
      <c r="E129" s="17"/>
      <c r="F129" s="16"/>
      <c r="G129" s="16"/>
      <c r="H129" s="16"/>
      <c r="I129" s="16"/>
      <c r="J129" s="16"/>
      <c r="K129" s="16"/>
      <c r="L129" s="17"/>
      <c r="M129" s="17"/>
      <c r="N129" s="17"/>
      <c r="O129" s="18"/>
      <c r="P129" s="16"/>
      <c r="Q129" s="16"/>
      <c r="R129" s="19" t="str">
        <f t="shared" si="2"/>
        <v/>
      </c>
      <c r="S129" s="19" t="str">
        <f t="shared" si="3"/>
        <v/>
      </c>
      <c r="T129" s="17"/>
      <c r="U129" s="16"/>
      <c r="V129" s="16"/>
      <c r="W129" s="16"/>
      <c r="X129" s="16"/>
      <c r="Y129" s="16"/>
      <c r="Z129" s="16"/>
      <c r="AA129" s="16"/>
      <c r="AB129" s="20" t="str">
        <f>IF(A129="","",COUNTIF(Variants!$A$3:$A$1502,A129))</f>
        <v/>
      </c>
      <c r="AC129" s="21" t="str">
        <f>IF(A129="","",IF(IF(E129="","description, ","")&amp;IF(AND(O129="",COUNTIFS(Variants!$A$3:$A$1502,A129,Variants!$K$3:$K$1502,"&lt;&gt;")=0),"price, ","")&amp;IF(T129="","image, ","")&amp;IF(B129="","category, ","")&amp;IF(N(AB129)=0,"variant, ","")&amp;IF(AND(P129="Percentage",N(Q129)&gt;100),"discount over 100%, ","")&amp;IF(AND(P129="Fixed amount",O129&lt;&gt;"",N(Q129)&gt;N(O129)),"discount over price, ","")="","Ready","Missing: "&amp;LEFT(IF(E129="","description, ","")&amp;IF(AND(O129="",COUNTIFS(Variants!$A$3:$A$1502,A129,Variants!$K$3:$K$1502,"&lt;&gt;")=0),"price, ","")&amp;IF(T129="","image, ","")&amp;IF(B129="","category, ","")&amp;IF(N(AB129)=0,"variant, ","")&amp;IF(AND(P129="Percentage",N(Q129)&gt;100),"discount over 100%, ","")&amp;IF(AND(P129="Fixed amount",O129&lt;&gt;"",N(Q129)&gt;N(O129)),"discount over price, ",""),LEN(IF(E129="","description, ","")&amp;IF(AND(O129="",COUNTIFS(Variants!$A$3:$A$1502,A129,Variants!$K$3:$K$1502,"&lt;&gt;")=0),"price, ","")&amp;IF(T129="","image, ","")&amp;IF(B129="","category, ","")&amp;IF(N(AB129)=0,"variant, ","")&amp;IF(AND(P129="Percentage",N(Q129)&gt;100),"discount over 100%, ","")&amp;IF(AND(P129="Fixed amount",O129&lt;&gt;"",N(Q129)&gt;N(O129)),"discount over price, ",""))-2)))</f>
        <v/>
      </c>
    </row>
    <row r="130" spans="1:29" x14ac:dyDescent="0.3">
      <c r="A130" s="16"/>
      <c r="B130" s="16"/>
      <c r="C130" s="16"/>
      <c r="D130" s="17"/>
      <c r="E130" s="17"/>
      <c r="F130" s="16"/>
      <c r="G130" s="16"/>
      <c r="H130" s="16"/>
      <c r="I130" s="16"/>
      <c r="J130" s="16"/>
      <c r="K130" s="16"/>
      <c r="L130" s="17"/>
      <c r="M130" s="17"/>
      <c r="N130" s="17"/>
      <c r="O130" s="18"/>
      <c r="P130" s="16"/>
      <c r="Q130" s="16"/>
      <c r="R130" s="19" t="str">
        <f t="shared" si="2"/>
        <v/>
      </c>
      <c r="S130" s="19" t="str">
        <f t="shared" si="3"/>
        <v/>
      </c>
      <c r="T130" s="17"/>
      <c r="U130" s="16"/>
      <c r="V130" s="16"/>
      <c r="W130" s="16"/>
      <c r="X130" s="16"/>
      <c r="Y130" s="16"/>
      <c r="Z130" s="16"/>
      <c r="AA130" s="16"/>
      <c r="AB130" s="20" t="str">
        <f>IF(A130="","",COUNTIF(Variants!$A$3:$A$1502,A130))</f>
        <v/>
      </c>
      <c r="AC130" s="21" t="str">
        <f>IF(A130="","",IF(IF(E130="","description, ","")&amp;IF(AND(O130="",COUNTIFS(Variants!$A$3:$A$1502,A130,Variants!$K$3:$K$1502,"&lt;&gt;")=0),"price, ","")&amp;IF(T130="","image, ","")&amp;IF(B130="","category, ","")&amp;IF(N(AB130)=0,"variant, ","")&amp;IF(AND(P130="Percentage",N(Q130)&gt;100),"discount over 100%, ","")&amp;IF(AND(P130="Fixed amount",O130&lt;&gt;"",N(Q130)&gt;N(O130)),"discount over price, ","")="","Ready","Missing: "&amp;LEFT(IF(E130="","description, ","")&amp;IF(AND(O130="",COUNTIFS(Variants!$A$3:$A$1502,A130,Variants!$K$3:$K$1502,"&lt;&gt;")=0),"price, ","")&amp;IF(T130="","image, ","")&amp;IF(B130="","category, ","")&amp;IF(N(AB130)=0,"variant, ","")&amp;IF(AND(P130="Percentage",N(Q130)&gt;100),"discount over 100%, ","")&amp;IF(AND(P130="Fixed amount",O130&lt;&gt;"",N(Q130)&gt;N(O130)),"discount over price, ",""),LEN(IF(E130="","description, ","")&amp;IF(AND(O130="",COUNTIFS(Variants!$A$3:$A$1502,A130,Variants!$K$3:$K$1502,"&lt;&gt;")=0),"price, ","")&amp;IF(T130="","image, ","")&amp;IF(B130="","category, ","")&amp;IF(N(AB130)=0,"variant, ","")&amp;IF(AND(P130="Percentage",N(Q130)&gt;100),"discount over 100%, ","")&amp;IF(AND(P130="Fixed amount",O130&lt;&gt;"",N(Q130)&gt;N(O130)),"discount over price, ",""))-2)))</f>
        <v/>
      </c>
    </row>
    <row r="131" spans="1:29" x14ac:dyDescent="0.3">
      <c r="A131" s="16"/>
      <c r="B131" s="16"/>
      <c r="C131" s="16"/>
      <c r="D131" s="17"/>
      <c r="E131" s="17"/>
      <c r="F131" s="16"/>
      <c r="G131" s="16"/>
      <c r="H131" s="16"/>
      <c r="I131" s="16"/>
      <c r="J131" s="16"/>
      <c r="K131" s="16"/>
      <c r="L131" s="17"/>
      <c r="M131" s="17"/>
      <c r="N131" s="17"/>
      <c r="O131" s="18"/>
      <c r="P131" s="16"/>
      <c r="Q131" s="16"/>
      <c r="R131" s="19" t="str">
        <f t="shared" ref="R131:R194" si="4">IF(O131="","",IF(P131="Percentage",ROUND(O131*N(Q131)/100,2),IF(P131="Fixed amount",N(Q131),0)))</f>
        <v/>
      </c>
      <c r="S131" s="19" t="str">
        <f t="shared" ref="S131:S194" si="5">IF(O131="","",O131-R131)</f>
        <v/>
      </c>
      <c r="T131" s="17"/>
      <c r="U131" s="16"/>
      <c r="V131" s="16"/>
      <c r="W131" s="16"/>
      <c r="X131" s="16"/>
      <c r="Y131" s="16"/>
      <c r="Z131" s="16"/>
      <c r="AA131" s="16"/>
      <c r="AB131" s="20" t="str">
        <f>IF(A131="","",COUNTIF(Variants!$A$3:$A$1502,A131))</f>
        <v/>
      </c>
      <c r="AC131" s="21" t="str">
        <f>IF(A131="","",IF(IF(E131="","description, ","")&amp;IF(AND(O131="",COUNTIFS(Variants!$A$3:$A$1502,A131,Variants!$K$3:$K$1502,"&lt;&gt;")=0),"price, ","")&amp;IF(T131="","image, ","")&amp;IF(B131="","category, ","")&amp;IF(N(AB131)=0,"variant, ","")&amp;IF(AND(P131="Percentage",N(Q131)&gt;100),"discount over 100%, ","")&amp;IF(AND(P131="Fixed amount",O131&lt;&gt;"",N(Q131)&gt;N(O131)),"discount over price, ","")="","Ready","Missing: "&amp;LEFT(IF(E131="","description, ","")&amp;IF(AND(O131="",COUNTIFS(Variants!$A$3:$A$1502,A131,Variants!$K$3:$K$1502,"&lt;&gt;")=0),"price, ","")&amp;IF(T131="","image, ","")&amp;IF(B131="","category, ","")&amp;IF(N(AB131)=0,"variant, ","")&amp;IF(AND(P131="Percentage",N(Q131)&gt;100),"discount over 100%, ","")&amp;IF(AND(P131="Fixed amount",O131&lt;&gt;"",N(Q131)&gt;N(O131)),"discount over price, ",""),LEN(IF(E131="","description, ","")&amp;IF(AND(O131="",COUNTIFS(Variants!$A$3:$A$1502,A131,Variants!$K$3:$K$1502,"&lt;&gt;")=0),"price, ","")&amp;IF(T131="","image, ","")&amp;IF(B131="","category, ","")&amp;IF(N(AB131)=0,"variant, ","")&amp;IF(AND(P131="Percentage",N(Q131)&gt;100),"discount over 100%, ","")&amp;IF(AND(P131="Fixed amount",O131&lt;&gt;"",N(Q131)&gt;N(O131)),"discount over price, ",""))-2)))</f>
        <v/>
      </c>
    </row>
    <row r="132" spans="1:29" x14ac:dyDescent="0.3">
      <c r="A132" s="16"/>
      <c r="B132" s="16"/>
      <c r="C132" s="16"/>
      <c r="D132" s="17"/>
      <c r="E132" s="17"/>
      <c r="F132" s="16"/>
      <c r="G132" s="16"/>
      <c r="H132" s="16"/>
      <c r="I132" s="16"/>
      <c r="J132" s="16"/>
      <c r="K132" s="16"/>
      <c r="L132" s="17"/>
      <c r="M132" s="17"/>
      <c r="N132" s="17"/>
      <c r="O132" s="18"/>
      <c r="P132" s="16"/>
      <c r="Q132" s="16"/>
      <c r="R132" s="19" t="str">
        <f t="shared" si="4"/>
        <v/>
      </c>
      <c r="S132" s="19" t="str">
        <f t="shared" si="5"/>
        <v/>
      </c>
      <c r="T132" s="17"/>
      <c r="U132" s="16"/>
      <c r="V132" s="16"/>
      <c r="W132" s="16"/>
      <c r="X132" s="16"/>
      <c r="Y132" s="16"/>
      <c r="Z132" s="16"/>
      <c r="AA132" s="16"/>
      <c r="AB132" s="20" t="str">
        <f>IF(A132="","",COUNTIF(Variants!$A$3:$A$1502,A132))</f>
        <v/>
      </c>
      <c r="AC132" s="21" t="str">
        <f>IF(A132="","",IF(IF(E132="","description, ","")&amp;IF(AND(O132="",COUNTIFS(Variants!$A$3:$A$1502,A132,Variants!$K$3:$K$1502,"&lt;&gt;")=0),"price, ","")&amp;IF(T132="","image, ","")&amp;IF(B132="","category, ","")&amp;IF(N(AB132)=0,"variant, ","")&amp;IF(AND(P132="Percentage",N(Q132)&gt;100),"discount over 100%, ","")&amp;IF(AND(P132="Fixed amount",O132&lt;&gt;"",N(Q132)&gt;N(O132)),"discount over price, ","")="","Ready","Missing: "&amp;LEFT(IF(E132="","description, ","")&amp;IF(AND(O132="",COUNTIFS(Variants!$A$3:$A$1502,A132,Variants!$K$3:$K$1502,"&lt;&gt;")=0),"price, ","")&amp;IF(T132="","image, ","")&amp;IF(B132="","category, ","")&amp;IF(N(AB132)=0,"variant, ","")&amp;IF(AND(P132="Percentage",N(Q132)&gt;100),"discount over 100%, ","")&amp;IF(AND(P132="Fixed amount",O132&lt;&gt;"",N(Q132)&gt;N(O132)),"discount over price, ",""),LEN(IF(E132="","description, ","")&amp;IF(AND(O132="",COUNTIFS(Variants!$A$3:$A$1502,A132,Variants!$K$3:$K$1502,"&lt;&gt;")=0),"price, ","")&amp;IF(T132="","image, ","")&amp;IF(B132="","category, ","")&amp;IF(N(AB132)=0,"variant, ","")&amp;IF(AND(P132="Percentage",N(Q132)&gt;100),"discount over 100%, ","")&amp;IF(AND(P132="Fixed amount",O132&lt;&gt;"",N(Q132)&gt;N(O132)),"discount over price, ",""))-2)))</f>
        <v/>
      </c>
    </row>
    <row r="133" spans="1:29" x14ac:dyDescent="0.3">
      <c r="A133" s="16"/>
      <c r="B133" s="16"/>
      <c r="C133" s="16"/>
      <c r="D133" s="17"/>
      <c r="E133" s="17"/>
      <c r="F133" s="16"/>
      <c r="G133" s="16"/>
      <c r="H133" s="16"/>
      <c r="I133" s="16"/>
      <c r="J133" s="16"/>
      <c r="K133" s="16"/>
      <c r="L133" s="17"/>
      <c r="M133" s="17"/>
      <c r="N133" s="17"/>
      <c r="O133" s="18"/>
      <c r="P133" s="16"/>
      <c r="Q133" s="16"/>
      <c r="R133" s="19" t="str">
        <f t="shared" si="4"/>
        <v/>
      </c>
      <c r="S133" s="19" t="str">
        <f t="shared" si="5"/>
        <v/>
      </c>
      <c r="T133" s="17"/>
      <c r="U133" s="16"/>
      <c r="V133" s="16"/>
      <c r="W133" s="16"/>
      <c r="X133" s="16"/>
      <c r="Y133" s="16"/>
      <c r="Z133" s="16"/>
      <c r="AA133" s="16"/>
      <c r="AB133" s="20" t="str">
        <f>IF(A133="","",COUNTIF(Variants!$A$3:$A$1502,A133))</f>
        <v/>
      </c>
      <c r="AC133" s="21" t="str">
        <f>IF(A133="","",IF(IF(E133="","description, ","")&amp;IF(AND(O133="",COUNTIFS(Variants!$A$3:$A$1502,A133,Variants!$K$3:$K$1502,"&lt;&gt;")=0),"price, ","")&amp;IF(T133="","image, ","")&amp;IF(B133="","category, ","")&amp;IF(N(AB133)=0,"variant, ","")&amp;IF(AND(P133="Percentage",N(Q133)&gt;100),"discount over 100%, ","")&amp;IF(AND(P133="Fixed amount",O133&lt;&gt;"",N(Q133)&gt;N(O133)),"discount over price, ","")="","Ready","Missing: "&amp;LEFT(IF(E133="","description, ","")&amp;IF(AND(O133="",COUNTIFS(Variants!$A$3:$A$1502,A133,Variants!$K$3:$K$1502,"&lt;&gt;")=0),"price, ","")&amp;IF(T133="","image, ","")&amp;IF(B133="","category, ","")&amp;IF(N(AB133)=0,"variant, ","")&amp;IF(AND(P133="Percentage",N(Q133)&gt;100),"discount over 100%, ","")&amp;IF(AND(P133="Fixed amount",O133&lt;&gt;"",N(Q133)&gt;N(O133)),"discount over price, ",""),LEN(IF(E133="","description, ","")&amp;IF(AND(O133="",COUNTIFS(Variants!$A$3:$A$1502,A133,Variants!$K$3:$K$1502,"&lt;&gt;")=0),"price, ","")&amp;IF(T133="","image, ","")&amp;IF(B133="","category, ","")&amp;IF(N(AB133)=0,"variant, ","")&amp;IF(AND(P133="Percentage",N(Q133)&gt;100),"discount over 100%, ","")&amp;IF(AND(P133="Fixed amount",O133&lt;&gt;"",N(Q133)&gt;N(O133)),"discount over price, ",""))-2)))</f>
        <v/>
      </c>
    </row>
    <row r="134" spans="1:29" x14ac:dyDescent="0.3">
      <c r="A134" s="16"/>
      <c r="B134" s="16"/>
      <c r="C134" s="16"/>
      <c r="D134" s="17"/>
      <c r="E134" s="17"/>
      <c r="F134" s="16"/>
      <c r="G134" s="16"/>
      <c r="H134" s="16"/>
      <c r="I134" s="16"/>
      <c r="J134" s="16"/>
      <c r="K134" s="16"/>
      <c r="L134" s="17"/>
      <c r="M134" s="17"/>
      <c r="N134" s="17"/>
      <c r="O134" s="18"/>
      <c r="P134" s="16"/>
      <c r="Q134" s="16"/>
      <c r="R134" s="19" t="str">
        <f t="shared" si="4"/>
        <v/>
      </c>
      <c r="S134" s="19" t="str">
        <f t="shared" si="5"/>
        <v/>
      </c>
      <c r="T134" s="17"/>
      <c r="U134" s="16"/>
      <c r="V134" s="16"/>
      <c r="W134" s="16"/>
      <c r="X134" s="16"/>
      <c r="Y134" s="16"/>
      <c r="Z134" s="16"/>
      <c r="AA134" s="16"/>
      <c r="AB134" s="20" t="str">
        <f>IF(A134="","",COUNTIF(Variants!$A$3:$A$1502,A134))</f>
        <v/>
      </c>
      <c r="AC134" s="21" t="str">
        <f>IF(A134="","",IF(IF(E134="","description, ","")&amp;IF(AND(O134="",COUNTIFS(Variants!$A$3:$A$1502,A134,Variants!$K$3:$K$1502,"&lt;&gt;")=0),"price, ","")&amp;IF(T134="","image, ","")&amp;IF(B134="","category, ","")&amp;IF(N(AB134)=0,"variant, ","")&amp;IF(AND(P134="Percentage",N(Q134)&gt;100),"discount over 100%, ","")&amp;IF(AND(P134="Fixed amount",O134&lt;&gt;"",N(Q134)&gt;N(O134)),"discount over price, ","")="","Ready","Missing: "&amp;LEFT(IF(E134="","description, ","")&amp;IF(AND(O134="",COUNTIFS(Variants!$A$3:$A$1502,A134,Variants!$K$3:$K$1502,"&lt;&gt;")=0),"price, ","")&amp;IF(T134="","image, ","")&amp;IF(B134="","category, ","")&amp;IF(N(AB134)=0,"variant, ","")&amp;IF(AND(P134="Percentage",N(Q134)&gt;100),"discount over 100%, ","")&amp;IF(AND(P134="Fixed amount",O134&lt;&gt;"",N(Q134)&gt;N(O134)),"discount over price, ",""),LEN(IF(E134="","description, ","")&amp;IF(AND(O134="",COUNTIFS(Variants!$A$3:$A$1502,A134,Variants!$K$3:$K$1502,"&lt;&gt;")=0),"price, ","")&amp;IF(T134="","image, ","")&amp;IF(B134="","category, ","")&amp;IF(N(AB134)=0,"variant, ","")&amp;IF(AND(P134="Percentage",N(Q134)&gt;100),"discount over 100%, ","")&amp;IF(AND(P134="Fixed amount",O134&lt;&gt;"",N(Q134)&gt;N(O134)),"discount over price, ",""))-2)))</f>
        <v/>
      </c>
    </row>
    <row r="135" spans="1:29" x14ac:dyDescent="0.3">
      <c r="A135" s="16"/>
      <c r="B135" s="16"/>
      <c r="C135" s="16"/>
      <c r="D135" s="17"/>
      <c r="E135" s="17"/>
      <c r="F135" s="16"/>
      <c r="G135" s="16"/>
      <c r="H135" s="16"/>
      <c r="I135" s="16"/>
      <c r="J135" s="16"/>
      <c r="K135" s="16"/>
      <c r="L135" s="17"/>
      <c r="M135" s="17"/>
      <c r="N135" s="17"/>
      <c r="O135" s="18"/>
      <c r="P135" s="16"/>
      <c r="Q135" s="16"/>
      <c r="R135" s="19" t="str">
        <f t="shared" si="4"/>
        <v/>
      </c>
      <c r="S135" s="19" t="str">
        <f t="shared" si="5"/>
        <v/>
      </c>
      <c r="T135" s="17"/>
      <c r="U135" s="16"/>
      <c r="V135" s="16"/>
      <c r="W135" s="16"/>
      <c r="X135" s="16"/>
      <c r="Y135" s="16"/>
      <c r="Z135" s="16"/>
      <c r="AA135" s="16"/>
      <c r="AB135" s="20" t="str">
        <f>IF(A135="","",COUNTIF(Variants!$A$3:$A$1502,A135))</f>
        <v/>
      </c>
      <c r="AC135" s="21" t="str">
        <f>IF(A135="","",IF(IF(E135="","description, ","")&amp;IF(AND(O135="",COUNTIFS(Variants!$A$3:$A$1502,A135,Variants!$K$3:$K$1502,"&lt;&gt;")=0),"price, ","")&amp;IF(T135="","image, ","")&amp;IF(B135="","category, ","")&amp;IF(N(AB135)=0,"variant, ","")&amp;IF(AND(P135="Percentage",N(Q135)&gt;100),"discount over 100%, ","")&amp;IF(AND(P135="Fixed amount",O135&lt;&gt;"",N(Q135)&gt;N(O135)),"discount over price, ","")="","Ready","Missing: "&amp;LEFT(IF(E135="","description, ","")&amp;IF(AND(O135="",COUNTIFS(Variants!$A$3:$A$1502,A135,Variants!$K$3:$K$1502,"&lt;&gt;")=0),"price, ","")&amp;IF(T135="","image, ","")&amp;IF(B135="","category, ","")&amp;IF(N(AB135)=0,"variant, ","")&amp;IF(AND(P135="Percentage",N(Q135)&gt;100),"discount over 100%, ","")&amp;IF(AND(P135="Fixed amount",O135&lt;&gt;"",N(Q135)&gt;N(O135)),"discount over price, ",""),LEN(IF(E135="","description, ","")&amp;IF(AND(O135="",COUNTIFS(Variants!$A$3:$A$1502,A135,Variants!$K$3:$K$1502,"&lt;&gt;")=0),"price, ","")&amp;IF(T135="","image, ","")&amp;IF(B135="","category, ","")&amp;IF(N(AB135)=0,"variant, ","")&amp;IF(AND(P135="Percentage",N(Q135)&gt;100),"discount over 100%, ","")&amp;IF(AND(P135="Fixed amount",O135&lt;&gt;"",N(Q135)&gt;N(O135)),"discount over price, ",""))-2)))</f>
        <v/>
      </c>
    </row>
    <row r="136" spans="1:29" x14ac:dyDescent="0.3">
      <c r="A136" s="16"/>
      <c r="B136" s="16"/>
      <c r="C136" s="16"/>
      <c r="D136" s="17"/>
      <c r="E136" s="17"/>
      <c r="F136" s="16"/>
      <c r="G136" s="16"/>
      <c r="H136" s="16"/>
      <c r="I136" s="16"/>
      <c r="J136" s="16"/>
      <c r="K136" s="16"/>
      <c r="L136" s="17"/>
      <c r="M136" s="17"/>
      <c r="N136" s="17"/>
      <c r="O136" s="18"/>
      <c r="P136" s="16"/>
      <c r="Q136" s="16"/>
      <c r="R136" s="19" t="str">
        <f t="shared" si="4"/>
        <v/>
      </c>
      <c r="S136" s="19" t="str">
        <f t="shared" si="5"/>
        <v/>
      </c>
      <c r="T136" s="17"/>
      <c r="U136" s="16"/>
      <c r="V136" s="16"/>
      <c r="W136" s="16"/>
      <c r="X136" s="16"/>
      <c r="Y136" s="16"/>
      <c r="Z136" s="16"/>
      <c r="AA136" s="16"/>
      <c r="AB136" s="20" t="str">
        <f>IF(A136="","",COUNTIF(Variants!$A$3:$A$1502,A136))</f>
        <v/>
      </c>
      <c r="AC136" s="21" t="str">
        <f>IF(A136="","",IF(IF(E136="","description, ","")&amp;IF(AND(O136="",COUNTIFS(Variants!$A$3:$A$1502,A136,Variants!$K$3:$K$1502,"&lt;&gt;")=0),"price, ","")&amp;IF(T136="","image, ","")&amp;IF(B136="","category, ","")&amp;IF(N(AB136)=0,"variant, ","")&amp;IF(AND(P136="Percentage",N(Q136)&gt;100),"discount over 100%, ","")&amp;IF(AND(P136="Fixed amount",O136&lt;&gt;"",N(Q136)&gt;N(O136)),"discount over price, ","")="","Ready","Missing: "&amp;LEFT(IF(E136="","description, ","")&amp;IF(AND(O136="",COUNTIFS(Variants!$A$3:$A$1502,A136,Variants!$K$3:$K$1502,"&lt;&gt;")=0),"price, ","")&amp;IF(T136="","image, ","")&amp;IF(B136="","category, ","")&amp;IF(N(AB136)=0,"variant, ","")&amp;IF(AND(P136="Percentage",N(Q136)&gt;100),"discount over 100%, ","")&amp;IF(AND(P136="Fixed amount",O136&lt;&gt;"",N(Q136)&gt;N(O136)),"discount over price, ",""),LEN(IF(E136="","description, ","")&amp;IF(AND(O136="",COUNTIFS(Variants!$A$3:$A$1502,A136,Variants!$K$3:$K$1502,"&lt;&gt;")=0),"price, ","")&amp;IF(T136="","image, ","")&amp;IF(B136="","category, ","")&amp;IF(N(AB136)=0,"variant, ","")&amp;IF(AND(P136="Percentage",N(Q136)&gt;100),"discount over 100%, ","")&amp;IF(AND(P136="Fixed amount",O136&lt;&gt;"",N(Q136)&gt;N(O136)),"discount over price, ",""))-2)))</f>
        <v/>
      </c>
    </row>
    <row r="137" spans="1:29" x14ac:dyDescent="0.3">
      <c r="A137" s="16"/>
      <c r="B137" s="16"/>
      <c r="C137" s="16"/>
      <c r="D137" s="17"/>
      <c r="E137" s="17"/>
      <c r="F137" s="16"/>
      <c r="G137" s="16"/>
      <c r="H137" s="16"/>
      <c r="I137" s="16"/>
      <c r="J137" s="16"/>
      <c r="K137" s="16"/>
      <c r="L137" s="17"/>
      <c r="M137" s="17"/>
      <c r="N137" s="17"/>
      <c r="O137" s="18"/>
      <c r="P137" s="16"/>
      <c r="Q137" s="16"/>
      <c r="R137" s="19" t="str">
        <f t="shared" si="4"/>
        <v/>
      </c>
      <c r="S137" s="19" t="str">
        <f t="shared" si="5"/>
        <v/>
      </c>
      <c r="T137" s="17"/>
      <c r="U137" s="16"/>
      <c r="V137" s="16"/>
      <c r="W137" s="16"/>
      <c r="X137" s="16"/>
      <c r="Y137" s="16"/>
      <c r="Z137" s="16"/>
      <c r="AA137" s="16"/>
      <c r="AB137" s="20" t="str">
        <f>IF(A137="","",COUNTIF(Variants!$A$3:$A$1502,A137))</f>
        <v/>
      </c>
      <c r="AC137" s="21" t="str">
        <f>IF(A137="","",IF(IF(E137="","description, ","")&amp;IF(AND(O137="",COUNTIFS(Variants!$A$3:$A$1502,A137,Variants!$K$3:$K$1502,"&lt;&gt;")=0),"price, ","")&amp;IF(T137="","image, ","")&amp;IF(B137="","category, ","")&amp;IF(N(AB137)=0,"variant, ","")&amp;IF(AND(P137="Percentage",N(Q137)&gt;100),"discount over 100%, ","")&amp;IF(AND(P137="Fixed amount",O137&lt;&gt;"",N(Q137)&gt;N(O137)),"discount over price, ","")="","Ready","Missing: "&amp;LEFT(IF(E137="","description, ","")&amp;IF(AND(O137="",COUNTIFS(Variants!$A$3:$A$1502,A137,Variants!$K$3:$K$1502,"&lt;&gt;")=0),"price, ","")&amp;IF(T137="","image, ","")&amp;IF(B137="","category, ","")&amp;IF(N(AB137)=0,"variant, ","")&amp;IF(AND(P137="Percentage",N(Q137)&gt;100),"discount over 100%, ","")&amp;IF(AND(P137="Fixed amount",O137&lt;&gt;"",N(Q137)&gt;N(O137)),"discount over price, ",""),LEN(IF(E137="","description, ","")&amp;IF(AND(O137="",COUNTIFS(Variants!$A$3:$A$1502,A137,Variants!$K$3:$K$1502,"&lt;&gt;")=0),"price, ","")&amp;IF(T137="","image, ","")&amp;IF(B137="","category, ","")&amp;IF(N(AB137)=0,"variant, ","")&amp;IF(AND(P137="Percentage",N(Q137)&gt;100),"discount over 100%, ","")&amp;IF(AND(P137="Fixed amount",O137&lt;&gt;"",N(Q137)&gt;N(O137)),"discount over price, ",""))-2)))</f>
        <v/>
      </c>
    </row>
    <row r="138" spans="1:29" x14ac:dyDescent="0.3">
      <c r="A138" s="16"/>
      <c r="B138" s="16"/>
      <c r="C138" s="16"/>
      <c r="D138" s="17"/>
      <c r="E138" s="17"/>
      <c r="F138" s="16"/>
      <c r="G138" s="16"/>
      <c r="H138" s="16"/>
      <c r="I138" s="16"/>
      <c r="J138" s="16"/>
      <c r="K138" s="16"/>
      <c r="L138" s="17"/>
      <c r="M138" s="17"/>
      <c r="N138" s="17"/>
      <c r="O138" s="18"/>
      <c r="P138" s="16"/>
      <c r="Q138" s="16"/>
      <c r="R138" s="19" t="str">
        <f t="shared" si="4"/>
        <v/>
      </c>
      <c r="S138" s="19" t="str">
        <f t="shared" si="5"/>
        <v/>
      </c>
      <c r="T138" s="17"/>
      <c r="U138" s="16"/>
      <c r="V138" s="16"/>
      <c r="W138" s="16"/>
      <c r="X138" s="16"/>
      <c r="Y138" s="16"/>
      <c r="Z138" s="16"/>
      <c r="AA138" s="16"/>
      <c r="AB138" s="20" t="str">
        <f>IF(A138="","",COUNTIF(Variants!$A$3:$A$1502,A138))</f>
        <v/>
      </c>
      <c r="AC138" s="21" t="str">
        <f>IF(A138="","",IF(IF(E138="","description, ","")&amp;IF(AND(O138="",COUNTIFS(Variants!$A$3:$A$1502,A138,Variants!$K$3:$K$1502,"&lt;&gt;")=0),"price, ","")&amp;IF(T138="","image, ","")&amp;IF(B138="","category, ","")&amp;IF(N(AB138)=0,"variant, ","")&amp;IF(AND(P138="Percentage",N(Q138)&gt;100),"discount over 100%, ","")&amp;IF(AND(P138="Fixed amount",O138&lt;&gt;"",N(Q138)&gt;N(O138)),"discount over price, ","")="","Ready","Missing: "&amp;LEFT(IF(E138="","description, ","")&amp;IF(AND(O138="",COUNTIFS(Variants!$A$3:$A$1502,A138,Variants!$K$3:$K$1502,"&lt;&gt;")=0),"price, ","")&amp;IF(T138="","image, ","")&amp;IF(B138="","category, ","")&amp;IF(N(AB138)=0,"variant, ","")&amp;IF(AND(P138="Percentage",N(Q138)&gt;100),"discount over 100%, ","")&amp;IF(AND(P138="Fixed amount",O138&lt;&gt;"",N(Q138)&gt;N(O138)),"discount over price, ",""),LEN(IF(E138="","description, ","")&amp;IF(AND(O138="",COUNTIFS(Variants!$A$3:$A$1502,A138,Variants!$K$3:$K$1502,"&lt;&gt;")=0),"price, ","")&amp;IF(T138="","image, ","")&amp;IF(B138="","category, ","")&amp;IF(N(AB138)=0,"variant, ","")&amp;IF(AND(P138="Percentage",N(Q138)&gt;100),"discount over 100%, ","")&amp;IF(AND(P138="Fixed amount",O138&lt;&gt;"",N(Q138)&gt;N(O138)),"discount over price, ",""))-2)))</f>
        <v/>
      </c>
    </row>
    <row r="139" spans="1:29" x14ac:dyDescent="0.3">
      <c r="A139" s="16"/>
      <c r="B139" s="16"/>
      <c r="C139" s="16"/>
      <c r="D139" s="17"/>
      <c r="E139" s="17"/>
      <c r="F139" s="16"/>
      <c r="G139" s="16"/>
      <c r="H139" s="16"/>
      <c r="I139" s="16"/>
      <c r="J139" s="16"/>
      <c r="K139" s="16"/>
      <c r="L139" s="17"/>
      <c r="M139" s="17"/>
      <c r="N139" s="17"/>
      <c r="O139" s="18"/>
      <c r="P139" s="16"/>
      <c r="Q139" s="16"/>
      <c r="R139" s="19" t="str">
        <f t="shared" si="4"/>
        <v/>
      </c>
      <c r="S139" s="19" t="str">
        <f t="shared" si="5"/>
        <v/>
      </c>
      <c r="T139" s="17"/>
      <c r="U139" s="16"/>
      <c r="V139" s="16"/>
      <c r="W139" s="16"/>
      <c r="X139" s="16"/>
      <c r="Y139" s="16"/>
      <c r="Z139" s="16"/>
      <c r="AA139" s="16"/>
      <c r="AB139" s="20" t="str">
        <f>IF(A139="","",COUNTIF(Variants!$A$3:$A$1502,A139))</f>
        <v/>
      </c>
      <c r="AC139" s="21" t="str">
        <f>IF(A139="","",IF(IF(E139="","description, ","")&amp;IF(AND(O139="",COUNTIFS(Variants!$A$3:$A$1502,A139,Variants!$K$3:$K$1502,"&lt;&gt;")=0),"price, ","")&amp;IF(T139="","image, ","")&amp;IF(B139="","category, ","")&amp;IF(N(AB139)=0,"variant, ","")&amp;IF(AND(P139="Percentage",N(Q139)&gt;100),"discount over 100%, ","")&amp;IF(AND(P139="Fixed amount",O139&lt;&gt;"",N(Q139)&gt;N(O139)),"discount over price, ","")="","Ready","Missing: "&amp;LEFT(IF(E139="","description, ","")&amp;IF(AND(O139="",COUNTIFS(Variants!$A$3:$A$1502,A139,Variants!$K$3:$K$1502,"&lt;&gt;")=0),"price, ","")&amp;IF(T139="","image, ","")&amp;IF(B139="","category, ","")&amp;IF(N(AB139)=0,"variant, ","")&amp;IF(AND(P139="Percentage",N(Q139)&gt;100),"discount over 100%, ","")&amp;IF(AND(P139="Fixed amount",O139&lt;&gt;"",N(Q139)&gt;N(O139)),"discount over price, ",""),LEN(IF(E139="","description, ","")&amp;IF(AND(O139="",COUNTIFS(Variants!$A$3:$A$1502,A139,Variants!$K$3:$K$1502,"&lt;&gt;")=0),"price, ","")&amp;IF(T139="","image, ","")&amp;IF(B139="","category, ","")&amp;IF(N(AB139)=0,"variant, ","")&amp;IF(AND(P139="Percentage",N(Q139)&gt;100),"discount over 100%, ","")&amp;IF(AND(P139="Fixed amount",O139&lt;&gt;"",N(Q139)&gt;N(O139)),"discount over price, ",""))-2)))</f>
        <v/>
      </c>
    </row>
    <row r="140" spans="1:29" x14ac:dyDescent="0.3">
      <c r="A140" s="16"/>
      <c r="B140" s="16"/>
      <c r="C140" s="16"/>
      <c r="D140" s="17"/>
      <c r="E140" s="17"/>
      <c r="F140" s="16"/>
      <c r="G140" s="16"/>
      <c r="H140" s="16"/>
      <c r="I140" s="16"/>
      <c r="J140" s="16"/>
      <c r="K140" s="16"/>
      <c r="L140" s="17"/>
      <c r="M140" s="17"/>
      <c r="N140" s="17"/>
      <c r="O140" s="18"/>
      <c r="P140" s="16"/>
      <c r="Q140" s="16"/>
      <c r="R140" s="19" t="str">
        <f t="shared" si="4"/>
        <v/>
      </c>
      <c r="S140" s="19" t="str">
        <f t="shared" si="5"/>
        <v/>
      </c>
      <c r="T140" s="17"/>
      <c r="U140" s="16"/>
      <c r="V140" s="16"/>
      <c r="W140" s="16"/>
      <c r="X140" s="16"/>
      <c r="Y140" s="16"/>
      <c r="Z140" s="16"/>
      <c r="AA140" s="16"/>
      <c r="AB140" s="20" t="str">
        <f>IF(A140="","",COUNTIF(Variants!$A$3:$A$1502,A140))</f>
        <v/>
      </c>
      <c r="AC140" s="21" t="str">
        <f>IF(A140="","",IF(IF(E140="","description, ","")&amp;IF(AND(O140="",COUNTIFS(Variants!$A$3:$A$1502,A140,Variants!$K$3:$K$1502,"&lt;&gt;")=0),"price, ","")&amp;IF(T140="","image, ","")&amp;IF(B140="","category, ","")&amp;IF(N(AB140)=0,"variant, ","")&amp;IF(AND(P140="Percentage",N(Q140)&gt;100),"discount over 100%, ","")&amp;IF(AND(P140="Fixed amount",O140&lt;&gt;"",N(Q140)&gt;N(O140)),"discount over price, ","")="","Ready","Missing: "&amp;LEFT(IF(E140="","description, ","")&amp;IF(AND(O140="",COUNTIFS(Variants!$A$3:$A$1502,A140,Variants!$K$3:$K$1502,"&lt;&gt;")=0),"price, ","")&amp;IF(T140="","image, ","")&amp;IF(B140="","category, ","")&amp;IF(N(AB140)=0,"variant, ","")&amp;IF(AND(P140="Percentage",N(Q140)&gt;100),"discount over 100%, ","")&amp;IF(AND(P140="Fixed amount",O140&lt;&gt;"",N(Q140)&gt;N(O140)),"discount over price, ",""),LEN(IF(E140="","description, ","")&amp;IF(AND(O140="",COUNTIFS(Variants!$A$3:$A$1502,A140,Variants!$K$3:$K$1502,"&lt;&gt;")=0),"price, ","")&amp;IF(T140="","image, ","")&amp;IF(B140="","category, ","")&amp;IF(N(AB140)=0,"variant, ","")&amp;IF(AND(P140="Percentage",N(Q140)&gt;100),"discount over 100%, ","")&amp;IF(AND(P140="Fixed amount",O140&lt;&gt;"",N(Q140)&gt;N(O140)),"discount over price, ",""))-2)))</f>
        <v/>
      </c>
    </row>
    <row r="141" spans="1:29" x14ac:dyDescent="0.3">
      <c r="A141" s="16"/>
      <c r="B141" s="16"/>
      <c r="C141" s="16"/>
      <c r="D141" s="17"/>
      <c r="E141" s="17"/>
      <c r="F141" s="16"/>
      <c r="G141" s="16"/>
      <c r="H141" s="16"/>
      <c r="I141" s="16"/>
      <c r="J141" s="16"/>
      <c r="K141" s="16"/>
      <c r="L141" s="17"/>
      <c r="M141" s="17"/>
      <c r="N141" s="17"/>
      <c r="O141" s="18"/>
      <c r="P141" s="16"/>
      <c r="Q141" s="16"/>
      <c r="R141" s="19" t="str">
        <f t="shared" si="4"/>
        <v/>
      </c>
      <c r="S141" s="19" t="str">
        <f t="shared" si="5"/>
        <v/>
      </c>
      <c r="T141" s="17"/>
      <c r="U141" s="16"/>
      <c r="V141" s="16"/>
      <c r="W141" s="16"/>
      <c r="X141" s="16"/>
      <c r="Y141" s="16"/>
      <c r="Z141" s="16"/>
      <c r="AA141" s="16"/>
      <c r="AB141" s="20" t="str">
        <f>IF(A141="","",COUNTIF(Variants!$A$3:$A$1502,A141))</f>
        <v/>
      </c>
      <c r="AC141" s="21" t="str">
        <f>IF(A141="","",IF(IF(E141="","description, ","")&amp;IF(AND(O141="",COUNTIFS(Variants!$A$3:$A$1502,A141,Variants!$K$3:$K$1502,"&lt;&gt;")=0),"price, ","")&amp;IF(T141="","image, ","")&amp;IF(B141="","category, ","")&amp;IF(N(AB141)=0,"variant, ","")&amp;IF(AND(P141="Percentage",N(Q141)&gt;100),"discount over 100%, ","")&amp;IF(AND(P141="Fixed amount",O141&lt;&gt;"",N(Q141)&gt;N(O141)),"discount over price, ","")="","Ready","Missing: "&amp;LEFT(IF(E141="","description, ","")&amp;IF(AND(O141="",COUNTIFS(Variants!$A$3:$A$1502,A141,Variants!$K$3:$K$1502,"&lt;&gt;")=0),"price, ","")&amp;IF(T141="","image, ","")&amp;IF(B141="","category, ","")&amp;IF(N(AB141)=0,"variant, ","")&amp;IF(AND(P141="Percentage",N(Q141)&gt;100),"discount over 100%, ","")&amp;IF(AND(P141="Fixed amount",O141&lt;&gt;"",N(Q141)&gt;N(O141)),"discount over price, ",""),LEN(IF(E141="","description, ","")&amp;IF(AND(O141="",COUNTIFS(Variants!$A$3:$A$1502,A141,Variants!$K$3:$K$1502,"&lt;&gt;")=0),"price, ","")&amp;IF(T141="","image, ","")&amp;IF(B141="","category, ","")&amp;IF(N(AB141)=0,"variant, ","")&amp;IF(AND(P141="Percentage",N(Q141)&gt;100),"discount over 100%, ","")&amp;IF(AND(P141="Fixed amount",O141&lt;&gt;"",N(Q141)&gt;N(O141)),"discount over price, ",""))-2)))</f>
        <v/>
      </c>
    </row>
    <row r="142" spans="1:29" x14ac:dyDescent="0.3">
      <c r="A142" s="16"/>
      <c r="B142" s="16"/>
      <c r="C142" s="16"/>
      <c r="D142" s="17"/>
      <c r="E142" s="17"/>
      <c r="F142" s="16"/>
      <c r="G142" s="16"/>
      <c r="H142" s="16"/>
      <c r="I142" s="16"/>
      <c r="J142" s="16"/>
      <c r="K142" s="16"/>
      <c r="L142" s="17"/>
      <c r="M142" s="17"/>
      <c r="N142" s="17"/>
      <c r="O142" s="18"/>
      <c r="P142" s="16"/>
      <c r="Q142" s="16"/>
      <c r="R142" s="19" t="str">
        <f t="shared" si="4"/>
        <v/>
      </c>
      <c r="S142" s="19" t="str">
        <f t="shared" si="5"/>
        <v/>
      </c>
      <c r="T142" s="17"/>
      <c r="U142" s="16"/>
      <c r="V142" s="16"/>
      <c r="W142" s="16"/>
      <c r="X142" s="16"/>
      <c r="Y142" s="16"/>
      <c r="Z142" s="16"/>
      <c r="AA142" s="16"/>
      <c r="AB142" s="20" t="str">
        <f>IF(A142="","",COUNTIF(Variants!$A$3:$A$1502,A142))</f>
        <v/>
      </c>
      <c r="AC142" s="21" t="str">
        <f>IF(A142="","",IF(IF(E142="","description, ","")&amp;IF(AND(O142="",COUNTIFS(Variants!$A$3:$A$1502,A142,Variants!$K$3:$K$1502,"&lt;&gt;")=0),"price, ","")&amp;IF(T142="","image, ","")&amp;IF(B142="","category, ","")&amp;IF(N(AB142)=0,"variant, ","")&amp;IF(AND(P142="Percentage",N(Q142)&gt;100),"discount over 100%, ","")&amp;IF(AND(P142="Fixed amount",O142&lt;&gt;"",N(Q142)&gt;N(O142)),"discount over price, ","")="","Ready","Missing: "&amp;LEFT(IF(E142="","description, ","")&amp;IF(AND(O142="",COUNTIFS(Variants!$A$3:$A$1502,A142,Variants!$K$3:$K$1502,"&lt;&gt;")=0),"price, ","")&amp;IF(T142="","image, ","")&amp;IF(B142="","category, ","")&amp;IF(N(AB142)=0,"variant, ","")&amp;IF(AND(P142="Percentage",N(Q142)&gt;100),"discount over 100%, ","")&amp;IF(AND(P142="Fixed amount",O142&lt;&gt;"",N(Q142)&gt;N(O142)),"discount over price, ",""),LEN(IF(E142="","description, ","")&amp;IF(AND(O142="",COUNTIFS(Variants!$A$3:$A$1502,A142,Variants!$K$3:$K$1502,"&lt;&gt;")=0),"price, ","")&amp;IF(T142="","image, ","")&amp;IF(B142="","category, ","")&amp;IF(N(AB142)=0,"variant, ","")&amp;IF(AND(P142="Percentage",N(Q142)&gt;100),"discount over 100%, ","")&amp;IF(AND(P142="Fixed amount",O142&lt;&gt;"",N(Q142)&gt;N(O142)),"discount over price, ",""))-2)))</f>
        <v/>
      </c>
    </row>
    <row r="143" spans="1:29" x14ac:dyDescent="0.3">
      <c r="A143" s="16"/>
      <c r="B143" s="16"/>
      <c r="C143" s="16"/>
      <c r="D143" s="17"/>
      <c r="E143" s="17"/>
      <c r="F143" s="16"/>
      <c r="G143" s="16"/>
      <c r="H143" s="16"/>
      <c r="I143" s="16"/>
      <c r="J143" s="16"/>
      <c r="K143" s="16"/>
      <c r="L143" s="17"/>
      <c r="M143" s="17"/>
      <c r="N143" s="17"/>
      <c r="O143" s="18"/>
      <c r="P143" s="16"/>
      <c r="Q143" s="16"/>
      <c r="R143" s="19" t="str">
        <f t="shared" si="4"/>
        <v/>
      </c>
      <c r="S143" s="19" t="str">
        <f t="shared" si="5"/>
        <v/>
      </c>
      <c r="T143" s="17"/>
      <c r="U143" s="16"/>
      <c r="V143" s="16"/>
      <c r="W143" s="16"/>
      <c r="X143" s="16"/>
      <c r="Y143" s="16"/>
      <c r="Z143" s="16"/>
      <c r="AA143" s="16"/>
      <c r="AB143" s="20" t="str">
        <f>IF(A143="","",COUNTIF(Variants!$A$3:$A$1502,A143))</f>
        <v/>
      </c>
      <c r="AC143" s="21" t="str">
        <f>IF(A143="","",IF(IF(E143="","description, ","")&amp;IF(AND(O143="",COUNTIFS(Variants!$A$3:$A$1502,A143,Variants!$K$3:$K$1502,"&lt;&gt;")=0),"price, ","")&amp;IF(T143="","image, ","")&amp;IF(B143="","category, ","")&amp;IF(N(AB143)=0,"variant, ","")&amp;IF(AND(P143="Percentage",N(Q143)&gt;100),"discount over 100%, ","")&amp;IF(AND(P143="Fixed amount",O143&lt;&gt;"",N(Q143)&gt;N(O143)),"discount over price, ","")="","Ready","Missing: "&amp;LEFT(IF(E143="","description, ","")&amp;IF(AND(O143="",COUNTIFS(Variants!$A$3:$A$1502,A143,Variants!$K$3:$K$1502,"&lt;&gt;")=0),"price, ","")&amp;IF(T143="","image, ","")&amp;IF(B143="","category, ","")&amp;IF(N(AB143)=0,"variant, ","")&amp;IF(AND(P143="Percentage",N(Q143)&gt;100),"discount over 100%, ","")&amp;IF(AND(P143="Fixed amount",O143&lt;&gt;"",N(Q143)&gt;N(O143)),"discount over price, ",""),LEN(IF(E143="","description, ","")&amp;IF(AND(O143="",COUNTIFS(Variants!$A$3:$A$1502,A143,Variants!$K$3:$K$1502,"&lt;&gt;")=0),"price, ","")&amp;IF(T143="","image, ","")&amp;IF(B143="","category, ","")&amp;IF(N(AB143)=0,"variant, ","")&amp;IF(AND(P143="Percentage",N(Q143)&gt;100),"discount over 100%, ","")&amp;IF(AND(P143="Fixed amount",O143&lt;&gt;"",N(Q143)&gt;N(O143)),"discount over price, ",""))-2)))</f>
        <v/>
      </c>
    </row>
    <row r="144" spans="1:29" x14ac:dyDescent="0.3">
      <c r="A144" s="16"/>
      <c r="B144" s="16"/>
      <c r="C144" s="16"/>
      <c r="D144" s="17"/>
      <c r="E144" s="17"/>
      <c r="F144" s="16"/>
      <c r="G144" s="16"/>
      <c r="H144" s="16"/>
      <c r="I144" s="16"/>
      <c r="J144" s="16"/>
      <c r="K144" s="16"/>
      <c r="L144" s="17"/>
      <c r="M144" s="17"/>
      <c r="N144" s="17"/>
      <c r="O144" s="18"/>
      <c r="P144" s="16"/>
      <c r="Q144" s="16"/>
      <c r="R144" s="19" t="str">
        <f t="shared" si="4"/>
        <v/>
      </c>
      <c r="S144" s="19" t="str">
        <f t="shared" si="5"/>
        <v/>
      </c>
      <c r="T144" s="17"/>
      <c r="U144" s="16"/>
      <c r="V144" s="16"/>
      <c r="W144" s="16"/>
      <c r="X144" s="16"/>
      <c r="Y144" s="16"/>
      <c r="Z144" s="16"/>
      <c r="AA144" s="16"/>
      <c r="AB144" s="20" t="str">
        <f>IF(A144="","",COUNTIF(Variants!$A$3:$A$1502,A144))</f>
        <v/>
      </c>
      <c r="AC144" s="21" t="str">
        <f>IF(A144="","",IF(IF(E144="","description, ","")&amp;IF(AND(O144="",COUNTIFS(Variants!$A$3:$A$1502,A144,Variants!$K$3:$K$1502,"&lt;&gt;")=0),"price, ","")&amp;IF(T144="","image, ","")&amp;IF(B144="","category, ","")&amp;IF(N(AB144)=0,"variant, ","")&amp;IF(AND(P144="Percentage",N(Q144)&gt;100),"discount over 100%, ","")&amp;IF(AND(P144="Fixed amount",O144&lt;&gt;"",N(Q144)&gt;N(O144)),"discount over price, ","")="","Ready","Missing: "&amp;LEFT(IF(E144="","description, ","")&amp;IF(AND(O144="",COUNTIFS(Variants!$A$3:$A$1502,A144,Variants!$K$3:$K$1502,"&lt;&gt;")=0),"price, ","")&amp;IF(T144="","image, ","")&amp;IF(B144="","category, ","")&amp;IF(N(AB144)=0,"variant, ","")&amp;IF(AND(P144="Percentage",N(Q144)&gt;100),"discount over 100%, ","")&amp;IF(AND(P144="Fixed amount",O144&lt;&gt;"",N(Q144)&gt;N(O144)),"discount over price, ",""),LEN(IF(E144="","description, ","")&amp;IF(AND(O144="",COUNTIFS(Variants!$A$3:$A$1502,A144,Variants!$K$3:$K$1502,"&lt;&gt;")=0),"price, ","")&amp;IF(T144="","image, ","")&amp;IF(B144="","category, ","")&amp;IF(N(AB144)=0,"variant, ","")&amp;IF(AND(P144="Percentage",N(Q144)&gt;100),"discount over 100%, ","")&amp;IF(AND(P144="Fixed amount",O144&lt;&gt;"",N(Q144)&gt;N(O144)),"discount over price, ",""))-2)))</f>
        <v/>
      </c>
    </row>
    <row r="145" spans="1:29" x14ac:dyDescent="0.3">
      <c r="A145" s="16"/>
      <c r="B145" s="16"/>
      <c r="C145" s="16"/>
      <c r="D145" s="17"/>
      <c r="E145" s="17"/>
      <c r="F145" s="16"/>
      <c r="G145" s="16"/>
      <c r="H145" s="16"/>
      <c r="I145" s="16"/>
      <c r="J145" s="16"/>
      <c r="K145" s="16"/>
      <c r="L145" s="17"/>
      <c r="M145" s="17"/>
      <c r="N145" s="17"/>
      <c r="O145" s="18"/>
      <c r="P145" s="16"/>
      <c r="Q145" s="16"/>
      <c r="R145" s="19" t="str">
        <f t="shared" si="4"/>
        <v/>
      </c>
      <c r="S145" s="19" t="str">
        <f t="shared" si="5"/>
        <v/>
      </c>
      <c r="T145" s="17"/>
      <c r="U145" s="16"/>
      <c r="V145" s="16"/>
      <c r="W145" s="16"/>
      <c r="X145" s="16"/>
      <c r="Y145" s="16"/>
      <c r="Z145" s="16"/>
      <c r="AA145" s="16"/>
      <c r="AB145" s="20" t="str">
        <f>IF(A145="","",COUNTIF(Variants!$A$3:$A$1502,A145))</f>
        <v/>
      </c>
      <c r="AC145" s="21" t="str">
        <f>IF(A145="","",IF(IF(E145="","description, ","")&amp;IF(AND(O145="",COUNTIFS(Variants!$A$3:$A$1502,A145,Variants!$K$3:$K$1502,"&lt;&gt;")=0),"price, ","")&amp;IF(T145="","image, ","")&amp;IF(B145="","category, ","")&amp;IF(N(AB145)=0,"variant, ","")&amp;IF(AND(P145="Percentage",N(Q145)&gt;100),"discount over 100%, ","")&amp;IF(AND(P145="Fixed amount",O145&lt;&gt;"",N(Q145)&gt;N(O145)),"discount over price, ","")="","Ready","Missing: "&amp;LEFT(IF(E145="","description, ","")&amp;IF(AND(O145="",COUNTIFS(Variants!$A$3:$A$1502,A145,Variants!$K$3:$K$1502,"&lt;&gt;")=0),"price, ","")&amp;IF(T145="","image, ","")&amp;IF(B145="","category, ","")&amp;IF(N(AB145)=0,"variant, ","")&amp;IF(AND(P145="Percentage",N(Q145)&gt;100),"discount over 100%, ","")&amp;IF(AND(P145="Fixed amount",O145&lt;&gt;"",N(Q145)&gt;N(O145)),"discount over price, ",""),LEN(IF(E145="","description, ","")&amp;IF(AND(O145="",COUNTIFS(Variants!$A$3:$A$1502,A145,Variants!$K$3:$K$1502,"&lt;&gt;")=0),"price, ","")&amp;IF(T145="","image, ","")&amp;IF(B145="","category, ","")&amp;IF(N(AB145)=0,"variant, ","")&amp;IF(AND(P145="Percentage",N(Q145)&gt;100),"discount over 100%, ","")&amp;IF(AND(P145="Fixed amount",O145&lt;&gt;"",N(Q145)&gt;N(O145)),"discount over price, ",""))-2)))</f>
        <v/>
      </c>
    </row>
    <row r="146" spans="1:29" x14ac:dyDescent="0.3">
      <c r="A146" s="16"/>
      <c r="B146" s="16"/>
      <c r="C146" s="16"/>
      <c r="D146" s="17"/>
      <c r="E146" s="17"/>
      <c r="F146" s="16"/>
      <c r="G146" s="16"/>
      <c r="H146" s="16"/>
      <c r="I146" s="16"/>
      <c r="J146" s="16"/>
      <c r="K146" s="16"/>
      <c r="L146" s="17"/>
      <c r="M146" s="17"/>
      <c r="N146" s="17"/>
      <c r="O146" s="18"/>
      <c r="P146" s="16"/>
      <c r="Q146" s="16"/>
      <c r="R146" s="19" t="str">
        <f t="shared" si="4"/>
        <v/>
      </c>
      <c r="S146" s="19" t="str">
        <f t="shared" si="5"/>
        <v/>
      </c>
      <c r="T146" s="17"/>
      <c r="U146" s="16"/>
      <c r="V146" s="16"/>
      <c r="W146" s="16"/>
      <c r="X146" s="16"/>
      <c r="Y146" s="16"/>
      <c r="Z146" s="16"/>
      <c r="AA146" s="16"/>
      <c r="AB146" s="20" t="str">
        <f>IF(A146="","",COUNTIF(Variants!$A$3:$A$1502,A146))</f>
        <v/>
      </c>
      <c r="AC146" s="21" t="str">
        <f>IF(A146="","",IF(IF(E146="","description, ","")&amp;IF(AND(O146="",COUNTIFS(Variants!$A$3:$A$1502,A146,Variants!$K$3:$K$1502,"&lt;&gt;")=0),"price, ","")&amp;IF(T146="","image, ","")&amp;IF(B146="","category, ","")&amp;IF(N(AB146)=0,"variant, ","")&amp;IF(AND(P146="Percentage",N(Q146)&gt;100),"discount over 100%, ","")&amp;IF(AND(P146="Fixed amount",O146&lt;&gt;"",N(Q146)&gt;N(O146)),"discount over price, ","")="","Ready","Missing: "&amp;LEFT(IF(E146="","description, ","")&amp;IF(AND(O146="",COUNTIFS(Variants!$A$3:$A$1502,A146,Variants!$K$3:$K$1502,"&lt;&gt;")=0),"price, ","")&amp;IF(T146="","image, ","")&amp;IF(B146="","category, ","")&amp;IF(N(AB146)=0,"variant, ","")&amp;IF(AND(P146="Percentage",N(Q146)&gt;100),"discount over 100%, ","")&amp;IF(AND(P146="Fixed amount",O146&lt;&gt;"",N(Q146)&gt;N(O146)),"discount over price, ",""),LEN(IF(E146="","description, ","")&amp;IF(AND(O146="",COUNTIFS(Variants!$A$3:$A$1502,A146,Variants!$K$3:$K$1502,"&lt;&gt;")=0),"price, ","")&amp;IF(T146="","image, ","")&amp;IF(B146="","category, ","")&amp;IF(N(AB146)=0,"variant, ","")&amp;IF(AND(P146="Percentage",N(Q146)&gt;100),"discount over 100%, ","")&amp;IF(AND(P146="Fixed amount",O146&lt;&gt;"",N(Q146)&gt;N(O146)),"discount over price, ",""))-2)))</f>
        <v/>
      </c>
    </row>
    <row r="147" spans="1:29" x14ac:dyDescent="0.3">
      <c r="A147" s="16"/>
      <c r="B147" s="16"/>
      <c r="C147" s="16"/>
      <c r="D147" s="17"/>
      <c r="E147" s="17"/>
      <c r="F147" s="16"/>
      <c r="G147" s="16"/>
      <c r="H147" s="16"/>
      <c r="I147" s="16"/>
      <c r="J147" s="16"/>
      <c r="K147" s="16"/>
      <c r="L147" s="17"/>
      <c r="M147" s="17"/>
      <c r="N147" s="17"/>
      <c r="O147" s="18"/>
      <c r="P147" s="16"/>
      <c r="Q147" s="16"/>
      <c r="R147" s="19" t="str">
        <f t="shared" si="4"/>
        <v/>
      </c>
      <c r="S147" s="19" t="str">
        <f t="shared" si="5"/>
        <v/>
      </c>
      <c r="T147" s="17"/>
      <c r="U147" s="16"/>
      <c r="V147" s="16"/>
      <c r="W147" s="16"/>
      <c r="X147" s="16"/>
      <c r="Y147" s="16"/>
      <c r="Z147" s="16"/>
      <c r="AA147" s="16"/>
      <c r="AB147" s="20" t="str">
        <f>IF(A147="","",COUNTIF(Variants!$A$3:$A$1502,A147))</f>
        <v/>
      </c>
      <c r="AC147" s="21" t="str">
        <f>IF(A147="","",IF(IF(E147="","description, ","")&amp;IF(AND(O147="",COUNTIFS(Variants!$A$3:$A$1502,A147,Variants!$K$3:$K$1502,"&lt;&gt;")=0),"price, ","")&amp;IF(T147="","image, ","")&amp;IF(B147="","category, ","")&amp;IF(N(AB147)=0,"variant, ","")&amp;IF(AND(P147="Percentage",N(Q147)&gt;100),"discount over 100%, ","")&amp;IF(AND(P147="Fixed amount",O147&lt;&gt;"",N(Q147)&gt;N(O147)),"discount over price, ","")="","Ready","Missing: "&amp;LEFT(IF(E147="","description, ","")&amp;IF(AND(O147="",COUNTIFS(Variants!$A$3:$A$1502,A147,Variants!$K$3:$K$1502,"&lt;&gt;")=0),"price, ","")&amp;IF(T147="","image, ","")&amp;IF(B147="","category, ","")&amp;IF(N(AB147)=0,"variant, ","")&amp;IF(AND(P147="Percentage",N(Q147)&gt;100),"discount over 100%, ","")&amp;IF(AND(P147="Fixed amount",O147&lt;&gt;"",N(Q147)&gt;N(O147)),"discount over price, ",""),LEN(IF(E147="","description, ","")&amp;IF(AND(O147="",COUNTIFS(Variants!$A$3:$A$1502,A147,Variants!$K$3:$K$1502,"&lt;&gt;")=0),"price, ","")&amp;IF(T147="","image, ","")&amp;IF(B147="","category, ","")&amp;IF(N(AB147)=0,"variant, ","")&amp;IF(AND(P147="Percentage",N(Q147)&gt;100),"discount over 100%, ","")&amp;IF(AND(P147="Fixed amount",O147&lt;&gt;"",N(Q147)&gt;N(O147)),"discount over price, ",""))-2)))</f>
        <v/>
      </c>
    </row>
    <row r="148" spans="1:29" x14ac:dyDescent="0.3">
      <c r="A148" s="16"/>
      <c r="B148" s="16"/>
      <c r="C148" s="16"/>
      <c r="D148" s="17"/>
      <c r="E148" s="17"/>
      <c r="F148" s="16"/>
      <c r="G148" s="16"/>
      <c r="H148" s="16"/>
      <c r="I148" s="16"/>
      <c r="J148" s="16"/>
      <c r="K148" s="16"/>
      <c r="L148" s="17"/>
      <c r="M148" s="17"/>
      <c r="N148" s="17"/>
      <c r="O148" s="18"/>
      <c r="P148" s="16"/>
      <c r="Q148" s="16"/>
      <c r="R148" s="19" t="str">
        <f t="shared" si="4"/>
        <v/>
      </c>
      <c r="S148" s="19" t="str">
        <f t="shared" si="5"/>
        <v/>
      </c>
      <c r="T148" s="17"/>
      <c r="U148" s="16"/>
      <c r="V148" s="16"/>
      <c r="W148" s="16"/>
      <c r="X148" s="16"/>
      <c r="Y148" s="16"/>
      <c r="Z148" s="16"/>
      <c r="AA148" s="16"/>
      <c r="AB148" s="20" t="str">
        <f>IF(A148="","",COUNTIF(Variants!$A$3:$A$1502,A148))</f>
        <v/>
      </c>
      <c r="AC148" s="21" t="str">
        <f>IF(A148="","",IF(IF(E148="","description, ","")&amp;IF(AND(O148="",COUNTIFS(Variants!$A$3:$A$1502,A148,Variants!$K$3:$K$1502,"&lt;&gt;")=0),"price, ","")&amp;IF(T148="","image, ","")&amp;IF(B148="","category, ","")&amp;IF(N(AB148)=0,"variant, ","")&amp;IF(AND(P148="Percentage",N(Q148)&gt;100),"discount over 100%, ","")&amp;IF(AND(P148="Fixed amount",O148&lt;&gt;"",N(Q148)&gt;N(O148)),"discount over price, ","")="","Ready","Missing: "&amp;LEFT(IF(E148="","description, ","")&amp;IF(AND(O148="",COUNTIFS(Variants!$A$3:$A$1502,A148,Variants!$K$3:$K$1502,"&lt;&gt;")=0),"price, ","")&amp;IF(T148="","image, ","")&amp;IF(B148="","category, ","")&amp;IF(N(AB148)=0,"variant, ","")&amp;IF(AND(P148="Percentage",N(Q148)&gt;100),"discount over 100%, ","")&amp;IF(AND(P148="Fixed amount",O148&lt;&gt;"",N(Q148)&gt;N(O148)),"discount over price, ",""),LEN(IF(E148="","description, ","")&amp;IF(AND(O148="",COUNTIFS(Variants!$A$3:$A$1502,A148,Variants!$K$3:$K$1502,"&lt;&gt;")=0),"price, ","")&amp;IF(T148="","image, ","")&amp;IF(B148="","category, ","")&amp;IF(N(AB148)=0,"variant, ","")&amp;IF(AND(P148="Percentage",N(Q148)&gt;100),"discount over 100%, ","")&amp;IF(AND(P148="Fixed amount",O148&lt;&gt;"",N(Q148)&gt;N(O148)),"discount over price, ",""))-2)))</f>
        <v/>
      </c>
    </row>
    <row r="149" spans="1:29" x14ac:dyDescent="0.3">
      <c r="A149" s="16"/>
      <c r="B149" s="16"/>
      <c r="C149" s="16"/>
      <c r="D149" s="17"/>
      <c r="E149" s="17"/>
      <c r="F149" s="16"/>
      <c r="G149" s="16"/>
      <c r="H149" s="16"/>
      <c r="I149" s="16"/>
      <c r="J149" s="16"/>
      <c r="K149" s="16"/>
      <c r="L149" s="17"/>
      <c r="M149" s="17"/>
      <c r="N149" s="17"/>
      <c r="O149" s="18"/>
      <c r="P149" s="16"/>
      <c r="Q149" s="16"/>
      <c r="R149" s="19" t="str">
        <f t="shared" si="4"/>
        <v/>
      </c>
      <c r="S149" s="19" t="str">
        <f t="shared" si="5"/>
        <v/>
      </c>
      <c r="T149" s="17"/>
      <c r="U149" s="16"/>
      <c r="V149" s="16"/>
      <c r="W149" s="16"/>
      <c r="X149" s="16"/>
      <c r="Y149" s="16"/>
      <c r="Z149" s="16"/>
      <c r="AA149" s="16"/>
      <c r="AB149" s="20" t="str">
        <f>IF(A149="","",COUNTIF(Variants!$A$3:$A$1502,A149))</f>
        <v/>
      </c>
      <c r="AC149" s="21" t="str">
        <f>IF(A149="","",IF(IF(E149="","description, ","")&amp;IF(AND(O149="",COUNTIFS(Variants!$A$3:$A$1502,A149,Variants!$K$3:$K$1502,"&lt;&gt;")=0),"price, ","")&amp;IF(T149="","image, ","")&amp;IF(B149="","category, ","")&amp;IF(N(AB149)=0,"variant, ","")&amp;IF(AND(P149="Percentage",N(Q149)&gt;100),"discount over 100%, ","")&amp;IF(AND(P149="Fixed amount",O149&lt;&gt;"",N(Q149)&gt;N(O149)),"discount over price, ","")="","Ready","Missing: "&amp;LEFT(IF(E149="","description, ","")&amp;IF(AND(O149="",COUNTIFS(Variants!$A$3:$A$1502,A149,Variants!$K$3:$K$1502,"&lt;&gt;")=0),"price, ","")&amp;IF(T149="","image, ","")&amp;IF(B149="","category, ","")&amp;IF(N(AB149)=0,"variant, ","")&amp;IF(AND(P149="Percentage",N(Q149)&gt;100),"discount over 100%, ","")&amp;IF(AND(P149="Fixed amount",O149&lt;&gt;"",N(Q149)&gt;N(O149)),"discount over price, ",""),LEN(IF(E149="","description, ","")&amp;IF(AND(O149="",COUNTIFS(Variants!$A$3:$A$1502,A149,Variants!$K$3:$K$1502,"&lt;&gt;")=0),"price, ","")&amp;IF(T149="","image, ","")&amp;IF(B149="","category, ","")&amp;IF(N(AB149)=0,"variant, ","")&amp;IF(AND(P149="Percentage",N(Q149)&gt;100),"discount over 100%, ","")&amp;IF(AND(P149="Fixed amount",O149&lt;&gt;"",N(Q149)&gt;N(O149)),"discount over price, ",""))-2)))</f>
        <v/>
      </c>
    </row>
    <row r="150" spans="1:29" x14ac:dyDescent="0.3">
      <c r="A150" s="16"/>
      <c r="B150" s="16"/>
      <c r="C150" s="16"/>
      <c r="D150" s="17"/>
      <c r="E150" s="17"/>
      <c r="F150" s="16"/>
      <c r="G150" s="16"/>
      <c r="H150" s="16"/>
      <c r="I150" s="16"/>
      <c r="J150" s="16"/>
      <c r="K150" s="16"/>
      <c r="L150" s="17"/>
      <c r="M150" s="17"/>
      <c r="N150" s="17"/>
      <c r="O150" s="18"/>
      <c r="P150" s="16"/>
      <c r="Q150" s="16"/>
      <c r="R150" s="19" t="str">
        <f t="shared" si="4"/>
        <v/>
      </c>
      <c r="S150" s="19" t="str">
        <f t="shared" si="5"/>
        <v/>
      </c>
      <c r="T150" s="17"/>
      <c r="U150" s="16"/>
      <c r="V150" s="16"/>
      <c r="W150" s="16"/>
      <c r="X150" s="16"/>
      <c r="Y150" s="16"/>
      <c r="Z150" s="16"/>
      <c r="AA150" s="16"/>
      <c r="AB150" s="20" t="str">
        <f>IF(A150="","",COUNTIF(Variants!$A$3:$A$1502,A150))</f>
        <v/>
      </c>
      <c r="AC150" s="21" t="str">
        <f>IF(A150="","",IF(IF(E150="","description, ","")&amp;IF(AND(O150="",COUNTIFS(Variants!$A$3:$A$1502,A150,Variants!$K$3:$K$1502,"&lt;&gt;")=0),"price, ","")&amp;IF(T150="","image, ","")&amp;IF(B150="","category, ","")&amp;IF(N(AB150)=0,"variant, ","")&amp;IF(AND(P150="Percentage",N(Q150)&gt;100),"discount over 100%, ","")&amp;IF(AND(P150="Fixed amount",O150&lt;&gt;"",N(Q150)&gt;N(O150)),"discount over price, ","")="","Ready","Missing: "&amp;LEFT(IF(E150="","description, ","")&amp;IF(AND(O150="",COUNTIFS(Variants!$A$3:$A$1502,A150,Variants!$K$3:$K$1502,"&lt;&gt;")=0),"price, ","")&amp;IF(T150="","image, ","")&amp;IF(B150="","category, ","")&amp;IF(N(AB150)=0,"variant, ","")&amp;IF(AND(P150="Percentage",N(Q150)&gt;100),"discount over 100%, ","")&amp;IF(AND(P150="Fixed amount",O150&lt;&gt;"",N(Q150)&gt;N(O150)),"discount over price, ",""),LEN(IF(E150="","description, ","")&amp;IF(AND(O150="",COUNTIFS(Variants!$A$3:$A$1502,A150,Variants!$K$3:$K$1502,"&lt;&gt;")=0),"price, ","")&amp;IF(T150="","image, ","")&amp;IF(B150="","category, ","")&amp;IF(N(AB150)=0,"variant, ","")&amp;IF(AND(P150="Percentage",N(Q150)&gt;100),"discount over 100%, ","")&amp;IF(AND(P150="Fixed amount",O150&lt;&gt;"",N(Q150)&gt;N(O150)),"discount over price, ",""))-2)))</f>
        <v/>
      </c>
    </row>
    <row r="151" spans="1:29" x14ac:dyDescent="0.3">
      <c r="A151" s="16"/>
      <c r="B151" s="16"/>
      <c r="C151" s="16"/>
      <c r="D151" s="17"/>
      <c r="E151" s="17"/>
      <c r="F151" s="16"/>
      <c r="G151" s="16"/>
      <c r="H151" s="16"/>
      <c r="I151" s="16"/>
      <c r="J151" s="16"/>
      <c r="K151" s="16"/>
      <c r="L151" s="17"/>
      <c r="M151" s="17"/>
      <c r="N151" s="17"/>
      <c r="O151" s="18"/>
      <c r="P151" s="16"/>
      <c r="Q151" s="16"/>
      <c r="R151" s="19" t="str">
        <f t="shared" si="4"/>
        <v/>
      </c>
      <c r="S151" s="19" t="str">
        <f t="shared" si="5"/>
        <v/>
      </c>
      <c r="T151" s="17"/>
      <c r="U151" s="16"/>
      <c r="V151" s="16"/>
      <c r="W151" s="16"/>
      <c r="X151" s="16"/>
      <c r="Y151" s="16"/>
      <c r="Z151" s="16"/>
      <c r="AA151" s="16"/>
      <c r="AB151" s="20" t="str">
        <f>IF(A151="","",COUNTIF(Variants!$A$3:$A$1502,A151))</f>
        <v/>
      </c>
      <c r="AC151" s="21" t="str">
        <f>IF(A151="","",IF(IF(E151="","description, ","")&amp;IF(AND(O151="",COUNTIFS(Variants!$A$3:$A$1502,A151,Variants!$K$3:$K$1502,"&lt;&gt;")=0),"price, ","")&amp;IF(T151="","image, ","")&amp;IF(B151="","category, ","")&amp;IF(N(AB151)=0,"variant, ","")&amp;IF(AND(P151="Percentage",N(Q151)&gt;100),"discount over 100%, ","")&amp;IF(AND(P151="Fixed amount",O151&lt;&gt;"",N(Q151)&gt;N(O151)),"discount over price, ","")="","Ready","Missing: "&amp;LEFT(IF(E151="","description, ","")&amp;IF(AND(O151="",COUNTIFS(Variants!$A$3:$A$1502,A151,Variants!$K$3:$K$1502,"&lt;&gt;")=0),"price, ","")&amp;IF(T151="","image, ","")&amp;IF(B151="","category, ","")&amp;IF(N(AB151)=0,"variant, ","")&amp;IF(AND(P151="Percentage",N(Q151)&gt;100),"discount over 100%, ","")&amp;IF(AND(P151="Fixed amount",O151&lt;&gt;"",N(Q151)&gt;N(O151)),"discount over price, ",""),LEN(IF(E151="","description, ","")&amp;IF(AND(O151="",COUNTIFS(Variants!$A$3:$A$1502,A151,Variants!$K$3:$K$1502,"&lt;&gt;")=0),"price, ","")&amp;IF(T151="","image, ","")&amp;IF(B151="","category, ","")&amp;IF(N(AB151)=0,"variant, ","")&amp;IF(AND(P151="Percentage",N(Q151)&gt;100),"discount over 100%, ","")&amp;IF(AND(P151="Fixed amount",O151&lt;&gt;"",N(Q151)&gt;N(O151)),"discount over price, ",""))-2)))</f>
        <v/>
      </c>
    </row>
    <row r="152" spans="1:29" x14ac:dyDescent="0.3">
      <c r="A152" s="16"/>
      <c r="B152" s="16"/>
      <c r="C152" s="16"/>
      <c r="D152" s="17"/>
      <c r="E152" s="17"/>
      <c r="F152" s="16"/>
      <c r="G152" s="16"/>
      <c r="H152" s="16"/>
      <c r="I152" s="16"/>
      <c r="J152" s="16"/>
      <c r="K152" s="16"/>
      <c r="L152" s="17"/>
      <c r="M152" s="17"/>
      <c r="N152" s="17"/>
      <c r="O152" s="18"/>
      <c r="P152" s="16"/>
      <c r="Q152" s="16"/>
      <c r="R152" s="19" t="str">
        <f t="shared" si="4"/>
        <v/>
      </c>
      <c r="S152" s="19" t="str">
        <f t="shared" si="5"/>
        <v/>
      </c>
      <c r="T152" s="17"/>
      <c r="U152" s="16"/>
      <c r="V152" s="16"/>
      <c r="W152" s="16"/>
      <c r="X152" s="16"/>
      <c r="Y152" s="16"/>
      <c r="Z152" s="16"/>
      <c r="AA152" s="16"/>
      <c r="AB152" s="20" t="str">
        <f>IF(A152="","",COUNTIF(Variants!$A$3:$A$1502,A152))</f>
        <v/>
      </c>
      <c r="AC152" s="21" t="str">
        <f>IF(A152="","",IF(IF(E152="","description, ","")&amp;IF(AND(O152="",COUNTIFS(Variants!$A$3:$A$1502,A152,Variants!$K$3:$K$1502,"&lt;&gt;")=0),"price, ","")&amp;IF(T152="","image, ","")&amp;IF(B152="","category, ","")&amp;IF(N(AB152)=0,"variant, ","")&amp;IF(AND(P152="Percentage",N(Q152)&gt;100),"discount over 100%, ","")&amp;IF(AND(P152="Fixed amount",O152&lt;&gt;"",N(Q152)&gt;N(O152)),"discount over price, ","")="","Ready","Missing: "&amp;LEFT(IF(E152="","description, ","")&amp;IF(AND(O152="",COUNTIFS(Variants!$A$3:$A$1502,A152,Variants!$K$3:$K$1502,"&lt;&gt;")=0),"price, ","")&amp;IF(T152="","image, ","")&amp;IF(B152="","category, ","")&amp;IF(N(AB152)=0,"variant, ","")&amp;IF(AND(P152="Percentage",N(Q152)&gt;100),"discount over 100%, ","")&amp;IF(AND(P152="Fixed amount",O152&lt;&gt;"",N(Q152)&gt;N(O152)),"discount over price, ",""),LEN(IF(E152="","description, ","")&amp;IF(AND(O152="",COUNTIFS(Variants!$A$3:$A$1502,A152,Variants!$K$3:$K$1502,"&lt;&gt;")=0),"price, ","")&amp;IF(T152="","image, ","")&amp;IF(B152="","category, ","")&amp;IF(N(AB152)=0,"variant, ","")&amp;IF(AND(P152="Percentage",N(Q152)&gt;100),"discount over 100%, ","")&amp;IF(AND(P152="Fixed amount",O152&lt;&gt;"",N(Q152)&gt;N(O152)),"discount over price, ",""))-2)))</f>
        <v/>
      </c>
    </row>
    <row r="153" spans="1:29" x14ac:dyDescent="0.3">
      <c r="A153" s="16"/>
      <c r="B153" s="16"/>
      <c r="C153" s="16"/>
      <c r="D153" s="17"/>
      <c r="E153" s="17"/>
      <c r="F153" s="16"/>
      <c r="G153" s="16"/>
      <c r="H153" s="16"/>
      <c r="I153" s="16"/>
      <c r="J153" s="16"/>
      <c r="K153" s="16"/>
      <c r="L153" s="17"/>
      <c r="M153" s="17"/>
      <c r="N153" s="17"/>
      <c r="O153" s="18"/>
      <c r="P153" s="16"/>
      <c r="Q153" s="16"/>
      <c r="R153" s="19" t="str">
        <f t="shared" si="4"/>
        <v/>
      </c>
      <c r="S153" s="19" t="str">
        <f t="shared" si="5"/>
        <v/>
      </c>
      <c r="T153" s="17"/>
      <c r="U153" s="16"/>
      <c r="V153" s="16"/>
      <c r="W153" s="16"/>
      <c r="X153" s="16"/>
      <c r="Y153" s="16"/>
      <c r="Z153" s="16"/>
      <c r="AA153" s="16"/>
      <c r="AB153" s="20" t="str">
        <f>IF(A153="","",COUNTIF(Variants!$A$3:$A$1502,A153))</f>
        <v/>
      </c>
      <c r="AC153" s="21" t="str">
        <f>IF(A153="","",IF(IF(E153="","description, ","")&amp;IF(AND(O153="",COUNTIFS(Variants!$A$3:$A$1502,A153,Variants!$K$3:$K$1502,"&lt;&gt;")=0),"price, ","")&amp;IF(T153="","image, ","")&amp;IF(B153="","category, ","")&amp;IF(N(AB153)=0,"variant, ","")&amp;IF(AND(P153="Percentage",N(Q153)&gt;100),"discount over 100%, ","")&amp;IF(AND(P153="Fixed amount",O153&lt;&gt;"",N(Q153)&gt;N(O153)),"discount over price, ","")="","Ready","Missing: "&amp;LEFT(IF(E153="","description, ","")&amp;IF(AND(O153="",COUNTIFS(Variants!$A$3:$A$1502,A153,Variants!$K$3:$K$1502,"&lt;&gt;")=0),"price, ","")&amp;IF(T153="","image, ","")&amp;IF(B153="","category, ","")&amp;IF(N(AB153)=0,"variant, ","")&amp;IF(AND(P153="Percentage",N(Q153)&gt;100),"discount over 100%, ","")&amp;IF(AND(P153="Fixed amount",O153&lt;&gt;"",N(Q153)&gt;N(O153)),"discount over price, ",""),LEN(IF(E153="","description, ","")&amp;IF(AND(O153="",COUNTIFS(Variants!$A$3:$A$1502,A153,Variants!$K$3:$K$1502,"&lt;&gt;")=0),"price, ","")&amp;IF(T153="","image, ","")&amp;IF(B153="","category, ","")&amp;IF(N(AB153)=0,"variant, ","")&amp;IF(AND(P153="Percentage",N(Q153)&gt;100),"discount over 100%, ","")&amp;IF(AND(P153="Fixed amount",O153&lt;&gt;"",N(Q153)&gt;N(O153)),"discount over price, ",""))-2)))</f>
        <v/>
      </c>
    </row>
    <row r="154" spans="1:29" x14ac:dyDescent="0.3">
      <c r="A154" s="16"/>
      <c r="B154" s="16"/>
      <c r="C154" s="16"/>
      <c r="D154" s="17"/>
      <c r="E154" s="17"/>
      <c r="F154" s="16"/>
      <c r="G154" s="16"/>
      <c r="H154" s="16"/>
      <c r="I154" s="16"/>
      <c r="J154" s="16"/>
      <c r="K154" s="16"/>
      <c r="L154" s="17"/>
      <c r="M154" s="17"/>
      <c r="N154" s="17"/>
      <c r="O154" s="18"/>
      <c r="P154" s="16"/>
      <c r="Q154" s="16"/>
      <c r="R154" s="19" t="str">
        <f t="shared" si="4"/>
        <v/>
      </c>
      <c r="S154" s="19" t="str">
        <f t="shared" si="5"/>
        <v/>
      </c>
      <c r="T154" s="17"/>
      <c r="U154" s="16"/>
      <c r="V154" s="16"/>
      <c r="W154" s="16"/>
      <c r="X154" s="16"/>
      <c r="Y154" s="16"/>
      <c r="Z154" s="16"/>
      <c r="AA154" s="16"/>
      <c r="AB154" s="20" t="str">
        <f>IF(A154="","",COUNTIF(Variants!$A$3:$A$1502,A154))</f>
        <v/>
      </c>
      <c r="AC154" s="21" t="str">
        <f>IF(A154="","",IF(IF(E154="","description, ","")&amp;IF(AND(O154="",COUNTIFS(Variants!$A$3:$A$1502,A154,Variants!$K$3:$K$1502,"&lt;&gt;")=0),"price, ","")&amp;IF(T154="","image, ","")&amp;IF(B154="","category, ","")&amp;IF(N(AB154)=0,"variant, ","")&amp;IF(AND(P154="Percentage",N(Q154)&gt;100),"discount over 100%, ","")&amp;IF(AND(P154="Fixed amount",O154&lt;&gt;"",N(Q154)&gt;N(O154)),"discount over price, ","")="","Ready","Missing: "&amp;LEFT(IF(E154="","description, ","")&amp;IF(AND(O154="",COUNTIFS(Variants!$A$3:$A$1502,A154,Variants!$K$3:$K$1502,"&lt;&gt;")=0),"price, ","")&amp;IF(T154="","image, ","")&amp;IF(B154="","category, ","")&amp;IF(N(AB154)=0,"variant, ","")&amp;IF(AND(P154="Percentage",N(Q154)&gt;100),"discount over 100%, ","")&amp;IF(AND(P154="Fixed amount",O154&lt;&gt;"",N(Q154)&gt;N(O154)),"discount over price, ",""),LEN(IF(E154="","description, ","")&amp;IF(AND(O154="",COUNTIFS(Variants!$A$3:$A$1502,A154,Variants!$K$3:$K$1502,"&lt;&gt;")=0),"price, ","")&amp;IF(T154="","image, ","")&amp;IF(B154="","category, ","")&amp;IF(N(AB154)=0,"variant, ","")&amp;IF(AND(P154="Percentage",N(Q154)&gt;100),"discount over 100%, ","")&amp;IF(AND(P154="Fixed amount",O154&lt;&gt;"",N(Q154)&gt;N(O154)),"discount over price, ",""))-2)))</f>
        <v/>
      </c>
    </row>
    <row r="155" spans="1:29" x14ac:dyDescent="0.3">
      <c r="A155" s="16"/>
      <c r="B155" s="16"/>
      <c r="C155" s="16"/>
      <c r="D155" s="17"/>
      <c r="E155" s="17"/>
      <c r="F155" s="16"/>
      <c r="G155" s="16"/>
      <c r="H155" s="16"/>
      <c r="I155" s="16"/>
      <c r="J155" s="16"/>
      <c r="K155" s="16"/>
      <c r="L155" s="17"/>
      <c r="M155" s="17"/>
      <c r="N155" s="17"/>
      <c r="O155" s="18"/>
      <c r="P155" s="16"/>
      <c r="Q155" s="16"/>
      <c r="R155" s="19" t="str">
        <f t="shared" si="4"/>
        <v/>
      </c>
      <c r="S155" s="19" t="str">
        <f t="shared" si="5"/>
        <v/>
      </c>
      <c r="T155" s="17"/>
      <c r="U155" s="16"/>
      <c r="V155" s="16"/>
      <c r="W155" s="16"/>
      <c r="X155" s="16"/>
      <c r="Y155" s="16"/>
      <c r="Z155" s="16"/>
      <c r="AA155" s="16"/>
      <c r="AB155" s="20" t="str">
        <f>IF(A155="","",COUNTIF(Variants!$A$3:$A$1502,A155))</f>
        <v/>
      </c>
      <c r="AC155" s="21" t="str">
        <f>IF(A155="","",IF(IF(E155="","description, ","")&amp;IF(AND(O155="",COUNTIFS(Variants!$A$3:$A$1502,A155,Variants!$K$3:$K$1502,"&lt;&gt;")=0),"price, ","")&amp;IF(T155="","image, ","")&amp;IF(B155="","category, ","")&amp;IF(N(AB155)=0,"variant, ","")&amp;IF(AND(P155="Percentage",N(Q155)&gt;100),"discount over 100%, ","")&amp;IF(AND(P155="Fixed amount",O155&lt;&gt;"",N(Q155)&gt;N(O155)),"discount over price, ","")="","Ready","Missing: "&amp;LEFT(IF(E155="","description, ","")&amp;IF(AND(O155="",COUNTIFS(Variants!$A$3:$A$1502,A155,Variants!$K$3:$K$1502,"&lt;&gt;")=0),"price, ","")&amp;IF(T155="","image, ","")&amp;IF(B155="","category, ","")&amp;IF(N(AB155)=0,"variant, ","")&amp;IF(AND(P155="Percentage",N(Q155)&gt;100),"discount over 100%, ","")&amp;IF(AND(P155="Fixed amount",O155&lt;&gt;"",N(Q155)&gt;N(O155)),"discount over price, ",""),LEN(IF(E155="","description, ","")&amp;IF(AND(O155="",COUNTIFS(Variants!$A$3:$A$1502,A155,Variants!$K$3:$K$1502,"&lt;&gt;")=0),"price, ","")&amp;IF(T155="","image, ","")&amp;IF(B155="","category, ","")&amp;IF(N(AB155)=0,"variant, ","")&amp;IF(AND(P155="Percentage",N(Q155)&gt;100),"discount over 100%, ","")&amp;IF(AND(P155="Fixed amount",O155&lt;&gt;"",N(Q155)&gt;N(O155)),"discount over price, ",""))-2)))</f>
        <v/>
      </c>
    </row>
    <row r="156" spans="1:29" x14ac:dyDescent="0.3">
      <c r="A156" s="16"/>
      <c r="B156" s="16"/>
      <c r="C156" s="16"/>
      <c r="D156" s="17"/>
      <c r="E156" s="17"/>
      <c r="F156" s="16"/>
      <c r="G156" s="16"/>
      <c r="H156" s="16"/>
      <c r="I156" s="16"/>
      <c r="J156" s="16"/>
      <c r="K156" s="16"/>
      <c r="L156" s="17"/>
      <c r="M156" s="17"/>
      <c r="N156" s="17"/>
      <c r="O156" s="18"/>
      <c r="P156" s="16"/>
      <c r="Q156" s="16"/>
      <c r="R156" s="19" t="str">
        <f t="shared" si="4"/>
        <v/>
      </c>
      <c r="S156" s="19" t="str">
        <f t="shared" si="5"/>
        <v/>
      </c>
      <c r="T156" s="17"/>
      <c r="U156" s="16"/>
      <c r="V156" s="16"/>
      <c r="W156" s="16"/>
      <c r="X156" s="16"/>
      <c r="Y156" s="16"/>
      <c r="Z156" s="16"/>
      <c r="AA156" s="16"/>
      <c r="AB156" s="20" t="str">
        <f>IF(A156="","",COUNTIF(Variants!$A$3:$A$1502,A156))</f>
        <v/>
      </c>
      <c r="AC156" s="21" t="str">
        <f>IF(A156="","",IF(IF(E156="","description, ","")&amp;IF(AND(O156="",COUNTIFS(Variants!$A$3:$A$1502,A156,Variants!$K$3:$K$1502,"&lt;&gt;")=0),"price, ","")&amp;IF(T156="","image, ","")&amp;IF(B156="","category, ","")&amp;IF(N(AB156)=0,"variant, ","")&amp;IF(AND(P156="Percentage",N(Q156)&gt;100),"discount over 100%, ","")&amp;IF(AND(P156="Fixed amount",O156&lt;&gt;"",N(Q156)&gt;N(O156)),"discount over price, ","")="","Ready","Missing: "&amp;LEFT(IF(E156="","description, ","")&amp;IF(AND(O156="",COUNTIFS(Variants!$A$3:$A$1502,A156,Variants!$K$3:$K$1502,"&lt;&gt;")=0),"price, ","")&amp;IF(T156="","image, ","")&amp;IF(B156="","category, ","")&amp;IF(N(AB156)=0,"variant, ","")&amp;IF(AND(P156="Percentage",N(Q156)&gt;100),"discount over 100%, ","")&amp;IF(AND(P156="Fixed amount",O156&lt;&gt;"",N(Q156)&gt;N(O156)),"discount over price, ",""),LEN(IF(E156="","description, ","")&amp;IF(AND(O156="",COUNTIFS(Variants!$A$3:$A$1502,A156,Variants!$K$3:$K$1502,"&lt;&gt;")=0),"price, ","")&amp;IF(T156="","image, ","")&amp;IF(B156="","category, ","")&amp;IF(N(AB156)=0,"variant, ","")&amp;IF(AND(P156="Percentage",N(Q156)&gt;100),"discount over 100%, ","")&amp;IF(AND(P156="Fixed amount",O156&lt;&gt;"",N(Q156)&gt;N(O156)),"discount over price, ",""))-2)))</f>
        <v/>
      </c>
    </row>
    <row r="157" spans="1:29" x14ac:dyDescent="0.3">
      <c r="A157" s="16"/>
      <c r="B157" s="16"/>
      <c r="C157" s="16"/>
      <c r="D157" s="17"/>
      <c r="E157" s="17"/>
      <c r="F157" s="16"/>
      <c r="G157" s="16"/>
      <c r="H157" s="16"/>
      <c r="I157" s="16"/>
      <c r="J157" s="16"/>
      <c r="K157" s="16"/>
      <c r="L157" s="17"/>
      <c r="M157" s="17"/>
      <c r="N157" s="17"/>
      <c r="O157" s="18"/>
      <c r="P157" s="16"/>
      <c r="Q157" s="16"/>
      <c r="R157" s="19" t="str">
        <f t="shared" si="4"/>
        <v/>
      </c>
      <c r="S157" s="19" t="str">
        <f t="shared" si="5"/>
        <v/>
      </c>
      <c r="T157" s="17"/>
      <c r="U157" s="16"/>
      <c r="V157" s="16"/>
      <c r="W157" s="16"/>
      <c r="X157" s="16"/>
      <c r="Y157" s="16"/>
      <c r="Z157" s="16"/>
      <c r="AA157" s="16"/>
      <c r="AB157" s="20" t="str">
        <f>IF(A157="","",COUNTIF(Variants!$A$3:$A$1502,A157))</f>
        <v/>
      </c>
      <c r="AC157" s="21" t="str">
        <f>IF(A157="","",IF(IF(E157="","description, ","")&amp;IF(AND(O157="",COUNTIFS(Variants!$A$3:$A$1502,A157,Variants!$K$3:$K$1502,"&lt;&gt;")=0),"price, ","")&amp;IF(T157="","image, ","")&amp;IF(B157="","category, ","")&amp;IF(N(AB157)=0,"variant, ","")&amp;IF(AND(P157="Percentage",N(Q157)&gt;100),"discount over 100%, ","")&amp;IF(AND(P157="Fixed amount",O157&lt;&gt;"",N(Q157)&gt;N(O157)),"discount over price, ","")="","Ready","Missing: "&amp;LEFT(IF(E157="","description, ","")&amp;IF(AND(O157="",COUNTIFS(Variants!$A$3:$A$1502,A157,Variants!$K$3:$K$1502,"&lt;&gt;")=0),"price, ","")&amp;IF(T157="","image, ","")&amp;IF(B157="","category, ","")&amp;IF(N(AB157)=0,"variant, ","")&amp;IF(AND(P157="Percentage",N(Q157)&gt;100),"discount over 100%, ","")&amp;IF(AND(P157="Fixed amount",O157&lt;&gt;"",N(Q157)&gt;N(O157)),"discount over price, ",""),LEN(IF(E157="","description, ","")&amp;IF(AND(O157="",COUNTIFS(Variants!$A$3:$A$1502,A157,Variants!$K$3:$K$1502,"&lt;&gt;")=0),"price, ","")&amp;IF(T157="","image, ","")&amp;IF(B157="","category, ","")&amp;IF(N(AB157)=0,"variant, ","")&amp;IF(AND(P157="Percentage",N(Q157)&gt;100),"discount over 100%, ","")&amp;IF(AND(P157="Fixed amount",O157&lt;&gt;"",N(Q157)&gt;N(O157)),"discount over price, ",""))-2)))</f>
        <v/>
      </c>
    </row>
    <row r="158" spans="1:29" x14ac:dyDescent="0.3">
      <c r="A158" s="16"/>
      <c r="B158" s="16"/>
      <c r="C158" s="16"/>
      <c r="D158" s="17"/>
      <c r="E158" s="17"/>
      <c r="F158" s="16"/>
      <c r="G158" s="16"/>
      <c r="H158" s="16"/>
      <c r="I158" s="16"/>
      <c r="J158" s="16"/>
      <c r="K158" s="16"/>
      <c r="L158" s="17"/>
      <c r="M158" s="17"/>
      <c r="N158" s="17"/>
      <c r="O158" s="18"/>
      <c r="P158" s="16"/>
      <c r="Q158" s="16"/>
      <c r="R158" s="19" t="str">
        <f t="shared" si="4"/>
        <v/>
      </c>
      <c r="S158" s="19" t="str">
        <f t="shared" si="5"/>
        <v/>
      </c>
      <c r="T158" s="17"/>
      <c r="U158" s="16"/>
      <c r="V158" s="16"/>
      <c r="W158" s="16"/>
      <c r="X158" s="16"/>
      <c r="Y158" s="16"/>
      <c r="Z158" s="16"/>
      <c r="AA158" s="16"/>
      <c r="AB158" s="20" t="str">
        <f>IF(A158="","",COUNTIF(Variants!$A$3:$A$1502,A158))</f>
        <v/>
      </c>
      <c r="AC158" s="21" t="str">
        <f>IF(A158="","",IF(IF(E158="","description, ","")&amp;IF(AND(O158="",COUNTIFS(Variants!$A$3:$A$1502,A158,Variants!$K$3:$K$1502,"&lt;&gt;")=0),"price, ","")&amp;IF(T158="","image, ","")&amp;IF(B158="","category, ","")&amp;IF(N(AB158)=0,"variant, ","")&amp;IF(AND(P158="Percentage",N(Q158)&gt;100),"discount over 100%, ","")&amp;IF(AND(P158="Fixed amount",O158&lt;&gt;"",N(Q158)&gt;N(O158)),"discount over price, ","")="","Ready","Missing: "&amp;LEFT(IF(E158="","description, ","")&amp;IF(AND(O158="",COUNTIFS(Variants!$A$3:$A$1502,A158,Variants!$K$3:$K$1502,"&lt;&gt;")=0),"price, ","")&amp;IF(T158="","image, ","")&amp;IF(B158="","category, ","")&amp;IF(N(AB158)=0,"variant, ","")&amp;IF(AND(P158="Percentage",N(Q158)&gt;100),"discount over 100%, ","")&amp;IF(AND(P158="Fixed amount",O158&lt;&gt;"",N(Q158)&gt;N(O158)),"discount over price, ",""),LEN(IF(E158="","description, ","")&amp;IF(AND(O158="",COUNTIFS(Variants!$A$3:$A$1502,A158,Variants!$K$3:$K$1502,"&lt;&gt;")=0),"price, ","")&amp;IF(T158="","image, ","")&amp;IF(B158="","category, ","")&amp;IF(N(AB158)=0,"variant, ","")&amp;IF(AND(P158="Percentage",N(Q158)&gt;100),"discount over 100%, ","")&amp;IF(AND(P158="Fixed amount",O158&lt;&gt;"",N(Q158)&gt;N(O158)),"discount over price, ",""))-2)))</f>
        <v/>
      </c>
    </row>
    <row r="159" spans="1:29" x14ac:dyDescent="0.3">
      <c r="A159" s="16"/>
      <c r="B159" s="16"/>
      <c r="C159" s="16"/>
      <c r="D159" s="17"/>
      <c r="E159" s="17"/>
      <c r="F159" s="16"/>
      <c r="G159" s="16"/>
      <c r="H159" s="16"/>
      <c r="I159" s="16"/>
      <c r="J159" s="16"/>
      <c r="K159" s="16"/>
      <c r="L159" s="17"/>
      <c r="M159" s="17"/>
      <c r="N159" s="17"/>
      <c r="O159" s="18"/>
      <c r="P159" s="16"/>
      <c r="Q159" s="16"/>
      <c r="R159" s="19" t="str">
        <f t="shared" si="4"/>
        <v/>
      </c>
      <c r="S159" s="19" t="str">
        <f t="shared" si="5"/>
        <v/>
      </c>
      <c r="T159" s="17"/>
      <c r="U159" s="16"/>
      <c r="V159" s="16"/>
      <c r="W159" s="16"/>
      <c r="X159" s="16"/>
      <c r="Y159" s="16"/>
      <c r="Z159" s="16"/>
      <c r="AA159" s="16"/>
      <c r="AB159" s="20" t="str">
        <f>IF(A159="","",COUNTIF(Variants!$A$3:$A$1502,A159))</f>
        <v/>
      </c>
      <c r="AC159" s="21" t="str">
        <f>IF(A159="","",IF(IF(E159="","description, ","")&amp;IF(AND(O159="",COUNTIFS(Variants!$A$3:$A$1502,A159,Variants!$K$3:$K$1502,"&lt;&gt;")=0),"price, ","")&amp;IF(T159="","image, ","")&amp;IF(B159="","category, ","")&amp;IF(N(AB159)=0,"variant, ","")&amp;IF(AND(P159="Percentage",N(Q159)&gt;100),"discount over 100%, ","")&amp;IF(AND(P159="Fixed amount",O159&lt;&gt;"",N(Q159)&gt;N(O159)),"discount over price, ","")="","Ready","Missing: "&amp;LEFT(IF(E159="","description, ","")&amp;IF(AND(O159="",COUNTIFS(Variants!$A$3:$A$1502,A159,Variants!$K$3:$K$1502,"&lt;&gt;")=0),"price, ","")&amp;IF(T159="","image, ","")&amp;IF(B159="","category, ","")&amp;IF(N(AB159)=0,"variant, ","")&amp;IF(AND(P159="Percentage",N(Q159)&gt;100),"discount over 100%, ","")&amp;IF(AND(P159="Fixed amount",O159&lt;&gt;"",N(Q159)&gt;N(O159)),"discount over price, ",""),LEN(IF(E159="","description, ","")&amp;IF(AND(O159="",COUNTIFS(Variants!$A$3:$A$1502,A159,Variants!$K$3:$K$1502,"&lt;&gt;")=0),"price, ","")&amp;IF(T159="","image, ","")&amp;IF(B159="","category, ","")&amp;IF(N(AB159)=0,"variant, ","")&amp;IF(AND(P159="Percentage",N(Q159)&gt;100),"discount over 100%, ","")&amp;IF(AND(P159="Fixed amount",O159&lt;&gt;"",N(Q159)&gt;N(O159)),"discount over price, ",""))-2)))</f>
        <v/>
      </c>
    </row>
    <row r="160" spans="1:29" x14ac:dyDescent="0.3">
      <c r="A160" s="16"/>
      <c r="B160" s="16"/>
      <c r="C160" s="16"/>
      <c r="D160" s="17"/>
      <c r="E160" s="17"/>
      <c r="F160" s="16"/>
      <c r="G160" s="16"/>
      <c r="H160" s="16"/>
      <c r="I160" s="16"/>
      <c r="J160" s="16"/>
      <c r="K160" s="16"/>
      <c r="L160" s="17"/>
      <c r="M160" s="17"/>
      <c r="N160" s="17"/>
      <c r="O160" s="18"/>
      <c r="P160" s="16"/>
      <c r="Q160" s="16"/>
      <c r="R160" s="19" t="str">
        <f t="shared" si="4"/>
        <v/>
      </c>
      <c r="S160" s="19" t="str">
        <f t="shared" si="5"/>
        <v/>
      </c>
      <c r="T160" s="17"/>
      <c r="U160" s="16"/>
      <c r="V160" s="16"/>
      <c r="W160" s="16"/>
      <c r="X160" s="16"/>
      <c r="Y160" s="16"/>
      <c r="Z160" s="16"/>
      <c r="AA160" s="16"/>
      <c r="AB160" s="20" t="str">
        <f>IF(A160="","",COUNTIF(Variants!$A$3:$A$1502,A160))</f>
        <v/>
      </c>
      <c r="AC160" s="21" t="str">
        <f>IF(A160="","",IF(IF(E160="","description, ","")&amp;IF(AND(O160="",COUNTIFS(Variants!$A$3:$A$1502,A160,Variants!$K$3:$K$1502,"&lt;&gt;")=0),"price, ","")&amp;IF(T160="","image, ","")&amp;IF(B160="","category, ","")&amp;IF(N(AB160)=0,"variant, ","")&amp;IF(AND(P160="Percentage",N(Q160)&gt;100),"discount over 100%, ","")&amp;IF(AND(P160="Fixed amount",O160&lt;&gt;"",N(Q160)&gt;N(O160)),"discount over price, ","")="","Ready","Missing: "&amp;LEFT(IF(E160="","description, ","")&amp;IF(AND(O160="",COUNTIFS(Variants!$A$3:$A$1502,A160,Variants!$K$3:$K$1502,"&lt;&gt;")=0),"price, ","")&amp;IF(T160="","image, ","")&amp;IF(B160="","category, ","")&amp;IF(N(AB160)=0,"variant, ","")&amp;IF(AND(P160="Percentage",N(Q160)&gt;100),"discount over 100%, ","")&amp;IF(AND(P160="Fixed amount",O160&lt;&gt;"",N(Q160)&gt;N(O160)),"discount over price, ",""),LEN(IF(E160="","description, ","")&amp;IF(AND(O160="",COUNTIFS(Variants!$A$3:$A$1502,A160,Variants!$K$3:$K$1502,"&lt;&gt;")=0),"price, ","")&amp;IF(T160="","image, ","")&amp;IF(B160="","category, ","")&amp;IF(N(AB160)=0,"variant, ","")&amp;IF(AND(P160="Percentage",N(Q160)&gt;100),"discount over 100%, ","")&amp;IF(AND(P160="Fixed amount",O160&lt;&gt;"",N(Q160)&gt;N(O160)),"discount over price, ",""))-2)))</f>
        <v/>
      </c>
    </row>
    <row r="161" spans="1:29" x14ac:dyDescent="0.3">
      <c r="A161" s="16"/>
      <c r="B161" s="16"/>
      <c r="C161" s="16"/>
      <c r="D161" s="17"/>
      <c r="E161" s="17"/>
      <c r="F161" s="16"/>
      <c r="G161" s="16"/>
      <c r="H161" s="16"/>
      <c r="I161" s="16"/>
      <c r="J161" s="16"/>
      <c r="K161" s="16"/>
      <c r="L161" s="17"/>
      <c r="M161" s="17"/>
      <c r="N161" s="17"/>
      <c r="O161" s="18"/>
      <c r="P161" s="16"/>
      <c r="Q161" s="16"/>
      <c r="R161" s="19" t="str">
        <f t="shared" si="4"/>
        <v/>
      </c>
      <c r="S161" s="19" t="str">
        <f t="shared" si="5"/>
        <v/>
      </c>
      <c r="T161" s="17"/>
      <c r="U161" s="16"/>
      <c r="V161" s="16"/>
      <c r="W161" s="16"/>
      <c r="X161" s="16"/>
      <c r="Y161" s="16"/>
      <c r="Z161" s="16"/>
      <c r="AA161" s="16"/>
      <c r="AB161" s="20" t="str">
        <f>IF(A161="","",COUNTIF(Variants!$A$3:$A$1502,A161))</f>
        <v/>
      </c>
      <c r="AC161" s="21" t="str">
        <f>IF(A161="","",IF(IF(E161="","description, ","")&amp;IF(AND(O161="",COUNTIFS(Variants!$A$3:$A$1502,A161,Variants!$K$3:$K$1502,"&lt;&gt;")=0),"price, ","")&amp;IF(T161="","image, ","")&amp;IF(B161="","category, ","")&amp;IF(N(AB161)=0,"variant, ","")&amp;IF(AND(P161="Percentage",N(Q161)&gt;100),"discount over 100%, ","")&amp;IF(AND(P161="Fixed amount",O161&lt;&gt;"",N(Q161)&gt;N(O161)),"discount over price, ","")="","Ready","Missing: "&amp;LEFT(IF(E161="","description, ","")&amp;IF(AND(O161="",COUNTIFS(Variants!$A$3:$A$1502,A161,Variants!$K$3:$K$1502,"&lt;&gt;")=0),"price, ","")&amp;IF(T161="","image, ","")&amp;IF(B161="","category, ","")&amp;IF(N(AB161)=0,"variant, ","")&amp;IF(AND(P161="Percentage",N(Q161)&gt;100),"discount over 100%, ","")&amp;IF(AND(P161="Fixed amount",O161&lt;&gt;"",N(Q161)&gt;N(O161)),"discount over price, ",""),LEN(IF(E161="","description, ","")&amp;IF(AND(O161="",COUNTIFS(Variants!$A$3:$A$1502,A161,Variants!$K$3:$K$1502,"&lt;&gt;")=0),"price, ","")&amp;IF(T161="","image, ","")&amp;IF(B161="","category, ","")&amp;IF(N(AB161)=0,"variant, ","")&amp;IF(AND(P161="Percentage",N(Q161)&gt;100),"discount over 100%, ","")&amp;IF(AND(P161="Fixed amount",O161&lt;&gt;"",N(Q161)&gt;N(O161)),"discount over price, ",""))-2)))</f>
        <v/>
      </c>
    </row>
    <row r="162" spans="1:29" x14ac:dyDescent="0.3">
      <c r="A162" s="16"/>
      <c r="B162" s="16"/>
      <c r="C162" s="16"/>
      <c r="D162" s="17"/>
      <c r="E162" s="17"/>
      <c r="F162" s="16"/>
      <c r="G162" s="16"/>
      <c r="H162" s="16"/>
      <c r="I162" s="16"/>
      <c r="J162" s="16"/>
      <c r="K162" s="16"/>
      <c r="L162" s="17"/>
      <c r="M162" s="17"/>
      <c r="N162" s="17"/>
      <c r="O162" s="18"/>
      <c r="P162" s="16"/>
      <c r="Q162" s="16"/>
      <c r="R162" s="19" t="str">
        <f t="shared" si="4"/>
        <v/>
      </c>
      <c r="S162" s="19" t="str">
        <f t="shared" si="5"/>
        <v/>
      </c>
      <c r="T162" s="17"/>
      <c r="U162" s="16"/>
      <c r="V162" s="16"/>
      <c r="W162" s="16"/>
      <c r="X162" s="16"/>
      <c r="Y162" s="16"/>
      <c r="Z162" s="16"/>
      <c r="AA162" s="16"/>
      <c r="AB162" s="20" t="str">
        <f>IF(A162="","",COUNTIF(Variants!$A$3:$A$1502,A162))</f>
        <v/>
      </c>
      <c r="AC162" s="21" t="str">
        <f>IF(A162="","",IF(IF(E162="","description, ","")&amp;IF(AND(O162="",COUNTIFS(Variants!$A$3:$A$1502,A162,Variants!$K$3:$K$1502,"&lt;&gt;")=0),"price, ","")&amp;IF(T162="","image, ","")&amp;IF(B162="","category, ","")&amp;IF(N(AB162)=0,"variant, ","")&amp;IF(AND(P162="Percentage",N(Q162)&gt;100),"discount over 100%, ","")&amp;IF(AND(P162="Fixed amount",O162&lt;&gt;"",N(Q162)&gt;N(O162)),"discount over price, ","")="","Ready","Missing: "&amp;LEFT(IF(E162="","description, ","")&amp;IF(AND(O162="",COUNTIFS(Variants!$A$3:$A$1502,A162,Variants!$K$3:$K$1502,"&lt;&gt;")=0),"price, ","")&amp;IF(T162="","image, ","")&amp;IF(B162="","category, ","")&amp;IF(N(AB162)=0,"variant, ","")&amp;IF(AND(P162="Percentage",N(Q162)&gt;100),"discount over 100%, ","")&amp;IF(AND(P162="Fixed amount",O162&lt;&gt;"",N(Q162)&gt;N(O162)),"discount over price, ",""),LEN(IF(E162="","description, ","")&amp;IF(AND(O162="",COUNTIFS(Variants!$A$3:$A$1502,A162,Variants!$K$3:$K$1502,"&lt;&gt;")=0),"price, ","")&amp;IF(T162="","image, ","")&amp;IF(B162="","category, ","")&amp;IF(N(AB162)=0,"variant, ","")&amp;IF(AND(P162="Percentage",N(Q162)&gt;100),"discount over 100%, ","")&amp;IF(AND(P162="Fixed amount",O162&lt;&gt;"",N(Q162)&gt;N(O162)),"discount over price, ",""))-2)))</f>
        <v/>
      </c>
    </row>
    <row r="163" spans="1:29" x14ac:dyDescent="0.3">
      <c r="A163" s="16"/>
      <c r="B163" s="16"/>
      <c r="C163" s="16"/>
      <c r="D163" s="17"/>
      <c r="E163" s="17"/>
      <c r="F163" s="16"/>
      <c r="G163" s="16"/>
      <c r="H163" s="16"/>
      <c r="I163" s="16"/>
      <c r="J163" s="16"/>
      <c r="K163" s="16"/>
      <c r="L163" s="17"/>
      <c r="M163" s="17"/>
      <c r="N163" s="17"/>
      <c r="O163" s="18"/>
      <c r="P163" s="16"/>
      <c r="Q163" s="16"/>
      <c r="R163" s="19" t="str">
        <f t="shared" si="4"/>
        <v/>
      </c>
      <c r="S163" s="19" t="str">
        <f t="shared" si="5"/>
        <v/>
      </c>
      <c r="T163" s="17"/>
      <c r="U163" s="16"/>
      <c r="V163" s="16"/>
      <c r="W163" s="16"/>
      <c r="X163" s="16"/>
      <c r="Y163" s="16"/>
      <c r="Z163" s="16"/>
      <c r="AA163" s="16"/>
      <c r="AB163" s="20" t="str">
        <f>IF(A163="","",COUNTIF(Variants!$A$3:$A$1502,A163))</f>
        <v/>
      </c>
      <c r="AC163" s="21" t="str">
        <f>IF(A163="","",IF(IF(E163="","description, ","")&amp;IF(AND(O163="",COUNTIFS(Variants!$A$3:$A$1502,A163,Variants!$K$3:$K$1502,"&lt;&gt;")=0),"price, ","")&amp;IF(T163="","image, ","")&amp;IF(B163="","category, ","")&amp;IF(N(AB163)=0,"variant, ","")&amp;IF(AND(P163="Percentage",N(Q163)&gt;100),"discount over 100%, ","")&amp;IF(AND(P163="Fixed amount",O163&lt;&gt;"",N(Q163)&gt;N(O163)),"discount over price, ","")="","Ready","Missing: "&amp;LEFT(IF(E163="","description, ","")&amp;IF(AND(O163="",COUNTIFS(Variants!$A$3:$A$1502,A163,Variants!$K$3:$K$1502,"&lt;&gt;")=0),"price, ","")&amp;IF(T163="","image, ","")&amp;IF(B163="","category, ","")&amp;IF(N(AB163)=0,"variant, ","")&amp;IF(AND(P163="Percentage",N(Q163)&gt;100),"discount over 100%, ","")&amp;IF(AND(P163="Fixed amount",O163&lt;&gt;"",N(Q163)&gt;N(O163)),"discount over price, ",""),LEN(IF(E163="","description, ","")&amp;IF(AND(O163="",COUNTIFS(Variants!$A$3:$A$1502,A163,Variants!$K$3:$K$1502,"&lt;&gt;")=0),"price, ","")&amp;IF(T163="","image, ","")&amp;IF(B163="","category, ","")&amp;IF(N(AB163)=0,"variant, ","")&amp;IF(AND(P163="Percentage",N(Q163)&gt;100),"discount over 100%, ","")&amp;IF(AND(P163="Fixed amount",O163&lt;&gt;"",N(Q163)&gt;N(O163)),"discount over price, ",""))-2)))</f>
        <v/>
      </c>
    </row>
    <row r="164" spans="1:29" x14ac:dyDescent="0.3">
      <c r="A164" s="16"/>
      <c r="B164" s="16"/>
      <c r="C164" s="16"/>
      <c r="D164" s="17"/>
      <c r="E164" s="17"/>
      <c r="F164" s="16"/>
      <c r="G164" s="16"/>
      <c r="H164" s="16"/>
      <c r="I164" s="16"/>
      <c r="J164" s="16"/>
      <c r="K164" s="16"/>
      <c r="L164" s="17"/>
      <c r="M164" s="17"/>
      <c r="N164" s="17"/>
      <c r="O164" s="18"/>
      <c r="P164" s="16"/>
      <c r="Q164" s="16"/>
      <c r="R164" s="19" t="str">
        <f t="shared" si="4"/>
        <v/>
      </c>
      <c r="S164" s="19" t="str">
        <f t="shared" si="5"/>
        <v/>
      </c>
      <c r="T164" s="17"/>
      <c r="U164" s="16"/>
      <c r="V164" s="16"/>
      <c r="W164" s="16"/>
      <c r="X164" s="16"/>
      <c r="Y164" s="16"/>
      <c r="Z164" s="16"/>
      <c r="AA164" s="16"/>
      <c r="AB164" s="20" t="str">
        <f>IF(A164="","",COUNTIF(Variants!$A$3:$A$1502,A164))</f>
        <v/>
      </c>
      <c r="AC164" s="21" t="str">
        <f>IF(A164="","",IF(IF(E164="","description, ","")&amp;IF(AND(O164="",COUNTIFS(Variants!$A$3:$A$1502,A164,Variants!$K$3:$K$1502,"&lt;&gt;")=0),"price, ","")&amp;IF(T164="","image, ","")&amp;IF(B164="","category, ","")&amp;IF(N(AB164)=0,"variant, ","")&amp;IF(AND(P164="Percentage",N(Q164)&gt;100),"discount over 100%, ","")&amp;IF(AND(P164="Fixed amount",O164&lt;&gt;"",N(Q164)&gt;N(O164)),"discount over price, ","")="","Ready","Missing: "&amp;LEFT(IF(E164="","description, ","")&amp;IF(AND(O164="",COUNTIFS(Variants!$A$3:$A$1502,A164,Variants!$K$3:$K$1502,"&lt;&gt;")=0),"price, ","")&amp;IF(T164="","image, ","")&amp;IF(B164="","category, ","")&amp;IF(N(AB164)=0,"variant, ","")&amp;IF(AND(P164="Percentage",N(Q164)&gt;100),"discount over 100%, ","")&amp;IF(AND(P164="Fixed amount",O164&lt;&gt;"",N(Q164)&gt;N(O164)),"discount over price, ",""),LEN(IF(E164="","description, ","")&amp;IF(AND(O164="",COUNTIFS(Variants!$A$3:$A$1502,A164,Variants!$K$3:$K$1502,"&lt;&gt;")=0),"price, ","")&amp;IF(T164="","image, ","")&amp;IF(B164="","category, ","")&amp;IF(N(AB164)=0,"variant, ","")&amp;IF(AND(P164="Percentage",N(Q164)&gt;100),"discount over 100%, ","")&amp;IF(AND(P164="Fixed amount",O164&lt;&gt;"",N(Q164)&gt;N(O164)),"discount over price, ",""))-2)))</f>
        <v/>
      </c>
    </row>
    <row r="165" spans="1:29" x14ac:dyDescent="0.3">
      <c r="A165" s="16"/>
      <c r="B165" s="16"/>
      <c r="C165" s="16"/>
      <c r="D165" s="17"/>
      <c r="E165" s="17"/>
      <c r="F165" s="16"/>
      <c r="G165" s="16"/>
      <c r="H165" s="16"/>
      <c r="I165" s="16"/>
      <c r="J165" s="16"/>
      <c r="K165" s="16"/>
      <c r="L165" s="17"/>
      <c r="M165" s="17"/>
      <c r="N165" s="17"/>
      <c r="O165" s="18"/>
      <c r="P165" s="16"/>
      <c r="Q165" s="16"/>
      <c r="R165" s="19" t="str">
        <f t="shared" si="4"/>
        <v/>
      </c>
      <c r="S165" s="19" t="str">
        <f t="shared" si="5"/>
        <v/>
      </c>
      <c r="T165" s="17"/>
      <c r="U165" s="16"/>
      <c r="V165" s="16"/>
      <c r="W165" s="16"/>
      <c r="X165" s="16"/>
      <c r="Y165" s="16"/>
      <c r="Z165" s="16"/>
      <c r="AA165" s="16"/>
      <c r="AB165" s="20" t="str">
        <f>IF(A165="","",COUNTIF(Variants!$A$3:$A$1502,A165))</f>
        <v/>
      </c>
      <c r="AC165" s="21" t="str">
        <f>IF(A165="","",IF(IF(E165="","description, ","")&amp;IF(AND(O165="",COUNTIFS(Variants!$A$3:$A$1502,A165,Variants!$K$3:$K$1502,"&lt;&gt;")=0),"price, ","")&amp;IF(T165="","image, ","")&amp;IF(B165="","category, ","")&amp;IF(N(AB165)=0,"variant, ","")&amp;IF(AND(P165="Percentage",N(Q165)&gt;100),"discount over 100%, ","")&amp;IF(AND(P165="Fixed amount",O165&lt;&gt;"",N(Q165)&gt;N(O165)),"discount over price, ","")="","Ready","Missing: "&amp;LEFT(IF(E165="","description, ","")&amp;IF(AND(O165="",COUNTIFS(Variants!$A$3:$A$1502,A165,Variants!$K$3:$K$1502,"&lt;&gt;")=0),"price, ","")&amp;IF(T165="","image, ","")&amp;IF(B165="","category, ","")&amp;IF(N(AB165)=0,"variant, ","")&amp;IF(AND(P165="Percentage",N(Q165)&gt;100),"discount over 100%, ","")&amp;IF(AND(P165="Fixed amount",O165&lt;&gt;"",N(Q165)&gt;N(O165)),"discount over price, ",""),LEN(IF(E165="","description, ","")&amp;IF(AND(O165="",COUNTIFS(Variants!$A$3:$A$1502,A165,Variants!$K$3:$K$1502,"&lt;&gt;")=0),"price, ","")&amp;IF(T165="","image, ","")&amp;IF(B165="","category, ","")&amp;IF(N(AB165)=0,"variant, ","")&amp;IF(AND(P165="Percentage",N(Q165)&gt;100),"discount over 100%, ","")&amp;IF(AND(P165="Fixed amount",O165&lt;&gt;"",N(Q165)&gt;N(O165)),"discount over price, ",""))-2)))</f>
        <v/>
      </c>
    </row>
    <row r="166" spans="1:29" x14ac:dyDescent="0.3">
      <c r="A166" s="16"/>
      <c r="B166" s="16"/>
      <c r="C166" s="16"/>
      <c r="D166" s="17"/>
      <c r="E166" s="17"/>
      <c r="F166" s="16"/>
      <c r="G166" s="16"/>
      <c r="H166" s="16"/>
      <c r="I166" s="16"/>
      <c r="J166" s="16"/>
      <c r="K166" s="16"/>
      <c r="L166" s="17"/>
      <c r="M166" s="17"/>
      <c r="N166" s="17"/>
      <c r="O166" s="18"/>
      <c r="P166" s="16"/>
      <c r="Q166" s="16"/>
      <c r="R166" s="19" t="str">
        <f t="shared" si="4"/>
        <v/>
      </c>
      <c r="S166" s="19" t="str">
        <f t="shared" si="5"/>
        <v/>
      </c>
      <c r="T166" s="17"/>
      <c r="U166" s="16"/>
      <c r="V166" s="16"/>
      <c r="W166" s="16"/>
      <c r="X166" s="16"/>
      <c r="Y166" s="16"/>
      <c r="Z166" s="16"/>
      <c r="AA166" s="16"/>
      <c r="AB166" s="20" t="str">
        <f>IF(A166="","",COUNTIF(Variants!$A$3:$A$1502,A166))</f>
        <v/>
      </c>
      <c r="AC166" s="21" t="str">
        <f>IF(A166="","",IF(IF(E166="","description, ","")&amp;IF(AND(O166="",COUNTIFS(Variants!$A$3:$A$1502,A166,Variants!$K$3:$K$1502,"&lt;&gt;")=0),"price, ","")&amp;IF(T166="","image, ","")&amp;IF(B166="","category, ","")&amp;IF(N(AB166)=0,"variant, ","")&amp;IF(AND(P166="Percentage",N(Q166)&gt;100),"discount over 100%, ","")&amp;IF(AND(P166="Fixed amount",O166&lt;&gt;"",N(Q166)&gt;N(O166)),"discount over price, ","")="","Ready","Missing: "&amp;LEFT(IF(E166="","description, ","")&amp;IF(AND(O166="",COUNTIFS(Variants!$A$3:$A$1502,A166,Variants!$K$3:$K$1502,"&lt;&gt;")=0),"price, ","")&amp;IF(T166="","image, ","")&amp;IF(B166="","category, ","")&amp;IF(N(AB166)=0,"variant, ","")&amp;IF(AND(P166="Percentage",N(Q166)&gt;100),"discount over 100%, ","")&amp;IF(AND(P166="Fixed amount",O166&lt;&gt;"",N(Q166)&gt;N(O166)),"discount over price, ",""),LEN(IF(E166="","description, ","")&amp;IF(AND(O166="",COUNTIFS(Variants!$A$3:$A$1502,A166,Variants!$K$3:$K$1502,"&lt;&gt;")=0),"price, ","")&amp;IF(T166="","image, ","")&amp;IF(B166="","category, ","")&amp;IF(N(AB166)=0,"variant, ","")&amp;IF(AND(P166="Percentage",N(Q166)&gt;100),"discount over 100%, ","")&amp;IF(AND(P166="Fixed amount",O166&lt;&gt;"",N(Q166)&gt;N(O166)),"discount over price, ",""))-2)))</f>
        <v/>
      </c>
    </row>
    <row r="167" spans="1:29" x14ac:dyDescent="0.3">
      <c r="A167" s="16"/>
      <c r="B167" s="16"/>
      <c r="C167" s="16"/>
      <c r="D167" s="17"/>
      <c r="E167" s="17"/>
      <c r="F167" s="16"/>
      <c r="G167" s="16"/>
      <c r="H167" s="16"/>
      <c r="I167" s="16"/>
      <c r="J167" s="16"/>
      <c r="K167" s="16"/>
      <c r="L167" s="17"/>
      <c r="M167" s="17"/>
      <c r="N167" s="17"/>
      <c r="O167" s="18"/>
      <c r="P167" s="16"/>
      <c r="Q167" s="16"/>
      <c r="R167" s="19" t="str">
        <f t="shared" si="4"/>
        <v/>
      </c>
      <c r="S167" s="19" t="str">
        <f t="shared" si="5"/>
        <v/>
      </c>
      <c r="T167" s="17"/>
      <c r="U167" s="16"/>
      <c r="V167" s="16"/>
      <c r="W167" s="16"/>
      <c r="X167" s="16"/>
      <c r="Y167" s="16"/>
      <c r="Z167" s="16"/>
      <c r="AA167" s="16"/>
      <c r="AB167" s="20" t="str">
        <f>IF(A167="","",COUNTIF(Variants!$A$3:$A$1502,A167))</f>
        <v/>
      </c>
      <c r="AC167" s="21" t="str">
        <f>IF(A167="","",IF(IF(E167="","description, ","")&amp;IF(AND(O167="",COUNTIFS(Variants!$A$3:$A$1502,A167,Variants!$K$3:$K$1502,"&lt;&gt;")=0),"price, ","")&amp;IF(T167="","image, ","")&amp;IF(B167="","category, ","")&amp;IF(N(AB167)=0,"variant, ","")&amp;IF(AND(P167="Percentage",N(Q167)&gt;100),"discount over 100%, ","")&amp;IF(AND(P167="Fixed amount",O167&lt;&gt;"",N(Q167)&gt;N(O167)),"discount over price, ","")="","Ready","Missing: "&amp;LEFT(IF(E167="","description, ","")&amp;IF(AND(O167="",COUNTIFS(Variants!$A$3:$A$1502,A167,Variants!$K$3:$K$1502,"&lt;&gt;")=0),"price, ","")&amp;IF(T167="","image, ","")&amp;IF(B167="","category, ","")&amp;IF(N(AB167)=0,"variant, ","")&amp;IF(AND(P167="Percentage",N(Q167)&gt;100),"discount over 100%, ","")&amp;IF(AND(P167="Fixed amount",O167&lt;&gt;"",N(Q167)&gt;N(O167)),"discount over price, ",""),LEN(IF(E167="","description, ","")&amp;IF(AND(O167="",COUNTIFS(Variants!$A$3:$A$1502,A167,Variants!$K$3:$K$1502,"&lt;&gt;")=0),"price, ","")&amp;IF(T167="","image, ","")&amp;IF(B167="","category, ","")&amp;IF(N(AB167)=0,"variant, ","")&amp;IF(AND(P167="Percentage",N(Q167)&gt;100),"discount over 100%, ","")&amp;IF(AND(P167="Fixed amount",O167&lt;&gt;"",N(Q167)&gt;N(O167)),"discount over price, ",""))-2)))</f>
        <v/>
      </c>
    </row>
    <row r="168" spans="1:29" x14ac:dyDescent="0.3">
      <c r="A168" s="16"/>
      <c r="B168" s="16"/>
      <c r="C168" s="16"/>
      <c r="D168" s="17"/>
      <c r="E168" s="17"/>
      <c r="F168" s="16"/>
      <c r="G168" s="16"/>
      <c r="H168" s="16"/>
      <c r="I168" s="16"/>
      <c r="J168" s="16"/>
      <c r="K168" s="16"/>
      <c r="L168" s="17"/>
      <c r="M168" s="17"/>
      <c r="N168" s="17"/>
      <c r="O168" s="18"/>
      <c r="P168" s="16"/>
      <c r="Q168" s="16"/>
      <c r="R168" s="19" t="str">
        <f t="shared" si="4"/>
        <v/>
      </c>
      <c r="S168" s="19" t="str">
        <f t="shared" si="5"/>
        <v/>
      </c>
      <c r="T168" s="17"/>
      <c r="U168" s="16"/>
      <c r="V168" s="16"/>
      <c r="W168" s="16"/>
      <c r="X168" s="16"/>
      <c r="Y168" s="16"/>
      <c r="Z168" s="16"/>
      <c r="AA168" s="16"/>
      <c r="AB168" s="20" t="str">
        <f>IF(A168="","",COUNTIF(Variants!$A$3:$A$1502,A168))</f>
        <v/>
      </c>
      <c r="AC168" s="21" t="str">
        <f>IF(A168="","",IF(IF(E168="","description, ","")&amp;IF(AND(O168="",COUNTIFS(Variants!$A$3:$A$1502,A168,Variants!$K$3:$K$1502,"&lt;&gt;")=0),"price, ","")&amp;IF(T168="","image, ","")&amp;IF(B168="","category, ","")&amp;IF(N(AB168)=0,"variant, ","")&amp;IF(AND(P168="Percentage",N(Q168)&gt;100),"discount over 100%, ","")&amp;IF(AND(P168="Fixed amount",O168&lt;&gt;"",N(Q168)&gt;N(O168)),"discount over price, ","")="","Ready","Missing: "&amp;LEFT(IF(E168="","description, ","")&amp;IF(AND(O168="",COUNTIFS(Variants!$A$3:$A$1502,A168,Variants!$K$3:$K$1502,"&lt;&gt;")=0),"price, ","")&amp;IF(T168="","image, ","")&amp;IF(B168="","category, ","")&amp;IF(N(AB168)=0,"variant, ","")&amp;IF(AND(P168="Percentage",N(Q168)&gt;100),"discount over 100%, ","")&amp;IF(AND(P168="Fixed amount",O168&lt;&gt;"",N(Q168)&gt;N(O168)),"discount over price, ",""),LEN(IF(E168="","description, ","")&amp;IF(AND(O168="",COUNTIFS(Variants!$A$3:$A$1502,A168,Variants!$K$3:$K$1502,"&lt;&gt;")=0),"price, ","")&amp;IF(T168="","image, ","")&amp;IF(B168="","category, ","")&amp;IF(N(AB168)=0,"variant, ","")&amp;IF(AND(P168="Percentage",N(Q168)&gt;100),"discount over 100%, ","")&amp;IF(AND(P168="Fixed amount",O168&lt;&gt;"",N(Q168)&gt;N(O168)),"discount over price, ",""))-2)))</f>
        <v/>
      </c>
    </row>
    <row r="169" spans="1:29" x14ac:dyDescent="0.3">
      <c r="A169" s="16"/>
      <c r="B169" s="16"/>
      <c r="C169" s="16"/>
      <c r="D169" s="17"/>
      <c r="E169" s="17"/>
      <c r="F169" s="16"/>
      <c r="G169" s="16"/>
      <c r="H169" s="16"/>
      <c r="I169" s="16"/>
      <c r="J169" s="16"/>
      <c r="K169" s="16"/>
      <c r="L169" s="17"/>
      <c r="M169" s="17"/>
      <c r="N169" s="17"/>
      <c r="O169" s="18"/>
      <c r="P169" s="16"/>
      <c r="Q169" s="16"/>
      <c r="R169" s="19" t="str">
        <f t="shared" si="4"/>
        <v/>
      </c>
      <c r="S169" s="19" t="str">
        <f t="shared" si="5"/>
        <v/>
      </c>
      <c r="T169" s="17"/>
      <c r="U169" s="16"/>
      <c r="V169" s="16"/>
      <c r="W169" s="16"/>
      <c r="X169" s="16"/>
      <c r="Y169" s="16"/>
      <c r="Z169" s="16"/>
      <c r="AA169" s="16"/>
      <c r="AB169" s="20" t="str">
        <f>IF(A169="","",COUNTIF(Variants!$A$3:$A$1502,A169))</f>
        <v/>
      </c>
      <c r="AC169" s="21" t="str">
        <f>IF(A169="","",IF(IF(E169="","description, ","")&amp;IF(AND(O169="",COUNTIFS(Variants!$A$3:$A$1502,A169,Variants!$K$3:$K$1502,"&lt;&gt;")=0),"price, ","")&amp;IF(T169="","image, ","")&amp;IF(B169="","category, ","")&amp;IF(N(AB169)=0,"variant, ","")&amp;IF(AND(P169="Percentage",N(Q169)&gt;100),"discount over 100%, ","")&amp;IF(AND(P169="Fixed amount",O169&lt;&gt;"",N(Q169)&gt;N(O169)),"discount over price, ","")="","Ready","Missing: "&amp;LEFT(IF(E169="","description, ","")&amp;IF(AND(O169="",COUNTIFS(Variants!$A$3:$A$1502,A169,Variants!$K$3:$K$1502,"&lt;&gt;")=0),"price, ","")&amp;IF(T169="","image, ","")&amp;IF(B169="","category, ","")&amp;IF(N(AB169)=0,"variant, ","")&amp;IF(AND(P169="Percentage",N(Q169)&gt;100),"discount over 100%, ","")&amp;IF(AND(P169="Fixed amount",O169&lt;&gt;"",N(Q169)&gt;N(O169)),"discount over price, ",""),LEN(IF(E169="","description, ","")&amp;IF(AND(O169="",COUNTIFS(Variants!$A$3:$A$1502,A169,Variants!$K$3:$K$1502,"&lt;&gt;")=0),"price, ","")&amp;IF(T169="","image, ","")&amp;IF(B169="","category, ","")&amp;IF(N(AB169)=0,"variant, ","")&amp;IF(AND(P169="Percentage",N(Q169)&gt;100),"discount over 100%, ","")&amp;IF(AND(P169="Fixed amount",O169&lt;&gt;"",N(Q169)&gt;N(O169)),"discount over price, ",""))-2)))</f>
        <v/>
      </c>
    </row>
    <row r="170" spans="1:29" x14ac:dyDescent="0.3">
      <c r="A170" s="16"/>
      <c r="B170" s="16"/>
      <c r="C170" s="16"/>
      <c r="D170" s="17"/>
      <c r="E170" s="17"/>
      <c r="F170" s="16"/>
      <c r="G170" s="16"/>
      <c r="H170" s="16"/>
      <c r="I170" s="16"/>
      <c r="J170" s="16"/>
      <c r="K170" s="16"/>
      <c r="L170" s="17"/>
      <c r="M170" s="17"/>
      <c r="N170" s="17"/>
      <c r="O170" s="18"/>
      <c r="P170" s="16"/>
      <c r="Q170" s="16"/>
      <c r="R170" s="19" t="str">
        <f t="shared" si="4"/>
        <v/>
      </c>
      <c r="S170" s="19" t="str">
        <f t="shared" si="5"/>
        <v/>
      </c>
      <c r="T170" s="17"/>
      <c r="U170" s="16"/>
      <c r="V170" s="16"/>
      <c r="W170" s="16"/>
      <c r="X170" s="16"/>
      <c r="Y170" s="16"/>
      <c r="Z170" s="16"/>
      <c r="AA170" s="16"/>
      <c r="AB170" s="20" t="str">
        <f>IF(A170="","",COUNTIF(Variants!$A$3:$A$1502,A170))</f>
        <v/>
      </c>
      <c r="AC170" s="21" t="str">
        <f>IF(A170="","",IF(IF(E170="","description, ","")&amp;IF(AND(O170="",COUNTIFS(Variants!$A$3:$A$1502,A170,Variants!$K$3:$K$1502,"&lt;&gt;")=0),"price, ","")&amp;IF(T170="","image, ","")&amp;IF(B170="","category, ","")&amp;IF(N(AB170)=0,"variant, ","")&amp;IF(AND(P170="Percentage",N(Q170)&gt;100),"discount over 100%, ","")&amp;IF(AND(P170="Fixed amount",O170&lt;&gt;"",N(Q170)&gt;N(O170)),"discount over price, ","")="","Ready","Missing: "&amp;LEFT(IF(E170="","description, ","")&amp;IF(AND(O170="",COUNTIFS(Variants!$A$3:$A$1502,A170,Variants!$K$3:$K$1502,"&lt;&gt;")=0),"price, ","")&amp;IF(T170="","image, ","")&amp;IF(B170="","category, ","")&amp;IF(N(AB170)=0,"variant, ","")&amp;IF(AND(P170="Percentage",N(Q170)&gt;100),"discount over 100%, ","")&amp;IF(AND(P170="Fixed amount",O170&lt;&gt;"",N(Q170)&gt;N(O170)),"discount over price, ",""),LEN(IF(E170="","description, ","")&amp;IF(AND(O170="",COUNTIFS(Variants!$A$3:$A$1502,A170,Variants!$K$3:$K$1502,"&lt;&gt;")=0),"price, ","")&amp;IF(T170="","image, ","")&amp;IF(B170="","category, ","")&amp;IF(N(AB170)=0,"variant, ","")&amp;IF(AND(P170="Percentage",N(Q170)&gt;100),"discount over 100%, ","")&amp;IF(AND(P170="Fixed amount",O170&lt;&gt;"",N(Q170)&gt;N(O170)),"discount over price, ",""))-2)))</f>
        <v/>
      </c>
    </row>
    <row r="171" spans="1:29" x14ac:dyDescent="0.3">
      <c r="A171" s="16"/>
      <c r="B171" s="16"/>
      <c r="C171" s="16"/>
      <c r="D171" s="17"/>
      <c r="E171" s="17"/>
      <c r="F171" s="16"/>
      <c r="G171" s="16"/>
      <c r="H171" s="16"/>
      <c r="I171" s="16"/>
      <c r="J171" s="16"/>
      <c r="K171" s="16"/>
      <c r="L171" s="17"/>
      <c r="M171" s="17"/>
      <c r="N171" s="17"/>
      <c r="O171" s="18"/>
      <c r="P171" s="16"/>
      <c r="Q171" s="16"/>
      <c r="R171" s="19" t="str">
        <f t="shared" si="4"/>
        <v/>
      </c>
      <c r="S171" s="19" t="str">
        <f t="shared" si="5"/>
        <v/>
      </c>
      <c r="T171" s="17"/>
      <c r="U171" s="16"/>
      <c r="V171" s="16"/>
      <c r="W171" s="16"/>
      <c r="X171" s="16"/>
      <c r="Y171" s="16"/>
      <c r="Z171" s="16"/>
      <c r="AA171" s="16"/>
      <c r="AB171" s="20" t="str">
        <f>IF(A171="","",COUNTIF(Variants!$A$3:$A$1502,A171))</f>
        <v/>
      </c>
      <c r="AC171" s="21" t="str">
        <f>IF(A171="","",IF(IF(E171="","description, ","")&amp;IF(AND(O171="",COUNTIFS(Variants!$A$3:$A$1502,A171,Variants!$K$3:$K$1502,"&lt;&gt;")=0),"price, ","")&amp;IF(T171="","image, ","")&amp;IF(B171="","category, ","")&amp;IF(N(AB171)=0,"variant, ","")&amp;IF(AND(P171="Percentage",N(Q171)&gt;100),"discount over 100%, ","")&amp;IF(AND(P171="Fixed amount",O171&lt;&gt;"",N(Q171)&gt;N(O171)),"discount over price, ","")="","Ready","Missing: "&amp;LEFT(IF(E171="","description, ","")&amp;IF(AND(O171="",COUNTIFS(Variants!$A$3:$A$1502,A171,Variants!$K$3:$K$1502,"&lt;&gt;")=0),"price, ","")&amp;IF(T171="","image, ","")&amp;IF(B171="","category, ","")&amp;IF(N(AB171)=0,"variant, ","")&amp;IF(AND(P171="Percentage",N(Q171)&gt;100),"discount over 100%, ","")&amp;IF(AND(P171="Fixed amount",O171&lt;&gt;"",N(Q171)&gt;N(O171)),"discount over price, ",""),LEN(IF(E171="","description, ","")&amp;IF(AND(O171="",COUNTIFS(Variants!$A$3:$A$1502,A171,Variants!$K$3:$K$1502,"&lt;&gt;")=0),"price, ","")&amp;IF(T171="","image, ","")&amp;IF(B171="","category, ","")&amp;IF(N(AB171)=0,"variant, ","")&amp;IF(AND(P171="Percentage",N(Q171)&gt;100),"discount over 100%, ","")&amp;IF(AND(P171="Fixed amount",O171&lt;&gt;"",N(Q171)&gt;N(O171)),"discount over price, ",""))-2)))</f>
        <v/>
      </c>
    </row>
    <row r="172" spans="1:29" x14ac:dyDescent="0.3">
      <c r="A172" s="16"/>
      <c r="B172" s="16"/>
      <c r="C172" s="16"/>
      <c r="D172" s="17"/>
      <c r="E172" s="17"/>
      <c r="F172" s="16"/>
      <c r="G172" s="16"/>
      <c r="H172" s="16"/>
      <c r="I172" s="16"/>
      <c r="J172" s="16"/>
      <c r="K172" s="16"/>
      <c r="L172" s="17"/>
      <c r="M172" s="17"/>
      <c r="N172" s="17"/>
      <c r="O172" s="18"/>
      <c r="P172" s="16"/>
      <c r="Q172" s="16"/>
      <c r="R172" s="19" t="str">
        <f t="shared" si="4"/>
        <v/>
      </c>
      <c r="S172" s="19" t="str">
        <f t="shared" si="5"/>
        <v/>
      </c>
      <c r="T172" s="17"/>
      <c r="U172" s="16"/>
      <c r="V172" s="16"/>
      <c r="W172" s="16"/>
      <c r="X172" s="16"/>
      <c r="Y172" s="16"/>
      <c r="Z172" s="16"/>
      <c r="AA172" s="16"/>
      <c r="AB172" s="20" t="str">
        <f>IF(A172="","",COUNTIF(Variants!$A$3:$A$1502,A172))</f>
        <v/>
      </c>
      <c r="AC172" s="21" t="str">
        <f>IF(A172="","",IF(IF(E172="","description, ","")&amp;IF(AND(O172="",COUNTIFS(Variants!$A$3:$A$1502,A172,Variants!$K$3:$K$1502,"&lt;&gt;")=0),"price, ","")&amp;IF(T172="","image, ","")&amp;IF(B172="","category, ","")&amp;IF(N(AB172)=0,"variant, ","")&amp;IF(AND(P172="Percentage",N(Q172)&gt;100),"discount over 100%, ","")&amp;IF(AND(P172="Fixed amount",O172&lt;&gt;"",N(Q172)&gt;N(O172)),"discount over price, ","")="","Ready","Missing: "&amp;LEFT(IF(E172="","description, ","")&amp;IF(AND(O172="",COUNTIFS(Variants!$A$3:$A$1502,A172,Variants!$K$3:$K$1502,"&lt;&gt;")=0),"price, ","")&amp;IF(T172="","image, ","")&amp;IF(B172="","category, ","")&amp;IF(N(AB172)=0,"variant, ","")&amp;IF(AND(P172="Percentage",N(Q172)&gt;100),"discount over 100%, ","")&amp;IF(AND(P172="Fixed amount",O172&lt;&gt;"",N(Q172)&gt;N(O172)),"discount over price, ",""),LEN(IF(E172="","description, ","")&amp;IF(AND(O172="",COUNTIFS(Variants!$A$3:$A$1502,A172,Variants!$K$3:$K$1502,"&lt;&gt;")=0),"price, ","")&amp;IF(T172="","image, ","")&amp;IF(B172="","category, ","")&amp;IF(N(AB172)=0,"variant, ","")&amp;IF(AND(P172="Percentage",N(Q172)&gt;100),"discount over 100%, ","")&amp;IF(AND(P172="Fixed amount",O172&lt;&gt;"",N(Q172)&gt;N(O172)),"discount over price, ",""))-2)))</f>
        <v/>
      </c>
    </row>
    <row r="173" spans="1:29" x14ac:dyDescent="0.3">
      <c r="A173" s="16"/>
      <c r="B173" s="16"/>
      <c r="C173" s="16"/>
      <c r="D173" s="17"/>
      <c r="E173" s="17"/>
      <c r="F173" s="16"/>
      <c r="G173" s="16"/>
      <c r="H173" s="16"/>
      <c r="I173" s="16"/>
      <c r="J173" s="16"/>
      <c r="K173" s="16"/>
      <c r="L173" s="17"/>
      <c r="M173" s="17"/>
      <c r="N173" s="17"/>
      <c r="O173" s="18"/>
      <c r="P173" s="16"/>
      <c r="Q173" s="16"/>
      <c r="R173" s="19" t="str">
        <f t="shared" si="4"/>
        <v/>
      </c>
      <c r="S173" s="19" t="str">
        <f t="shared" si="5"/>
        <v/>
      </c>
      <c r="T173" s="17"/>
      <c r="U173" s="16"/>
      <c r="V173" s="16"/>
      <c r="W173" s="16"/>
      <c r="X173" s="16"/>
      <c r="Y173" s="16"/>
      <c r="Z173" s="16"/>
      <c r="AA173" s="16"/>
      <c r="AB173" s="20" t="str">
        <f>IF(A173="","",COUNTIF(Variants!$A$3:$A$1502,A173))</f>
        <v/>
      </c>
      <c r="AC173" s="21" t="str">
        <f>IF(A173="","",IF(IF(E173="","description, ","")&amp;IF(AND(O173="",COUNTIFS(Variants!$A$3:$A$1502,A173,Variants!$K$3:$K$1502,"&lt;&gt;")=0),"price, ","")&amp;IF(T173="","image, ","")&amp;IF(B173="","category, ","")&amp;IF(N(AB173)=0,"variant, ","")&amp;IF(AND(P173="Percentage",N(Q173)&gt;100),"discount over 100%, ","")&amp;IF(AND(P173="Fixed amount",O173&lt;&gt;"",N(Q173)&gt;N(O173)),"discount over price, ","")="","Ready","Missing: "&amp;LEFT(IF(E173="","description, ","")&amp;IF(AND(O173="",COUNTIFS(Variants!$A$3:$A$1502,A173,Variants!$K$3:$K$1502,"&lt;&gt;")=0),"price, ","")&amp;IF(T173="","image, ","")&amp;IF(B173="","category, ","")&amp;IF(N(AB173)=0,"variant, ","")&amp;IF(AND(P173="Percentage",N(Q173)&gt;100),"discount over 100%, ","")&amp;IF(AND(P173="Fixed amount",O173&lt;&gt;"",N(Q173)&gt;N(O173)),"discount over price, ",""),LEN(IF(E173="","description, ","")&amp;IF(AND(O173="",COUNTIFS(Variants!$A$3:$A$1502,A173,Variants!$K$3:$K$1502,"&lt;&gt;")=0),"price, ","")&amp;IF(T173="","image, ","")&amp;IF(B173="","category, ","")&amp;IF(N(AB173)=0,"variant, ","")&amp;IF(AND(P173="Percentage",N(Q173)&gt;100),"discount over 100%, ","")&amp;IF(AND(P173="Fixed amount",O173&lt;&gt;"",N(Q173)&gt;N(O173)),"discount over price, ",""))-2)))</f>
        <v/>
      </c>
    </row>
    <row r="174" spans="1:29" x14ac:dyDescent="0.3">
      <c r="A174" s="16"/>
      <c r="B174" s="16"/>
      <c r="C174" s="16"/>
      <c r="D174" s="17"/>
      <c r="E174" s="17"/>
      <c r="F174" s="16"/>
      <c r="G174" s="16"/>
      <c r="H174" s="16"/>
      <c r="I174" s="16"/>
      <c r="J174" s="16"/>
      <c r="K174" s="16"/>
      <c r="L174" s="17"/>
      <c r="M174" s="17"/>
      <c r="N174" s="17"/>
      <c r="O174" s="18"/>
      <c r="P174" s="16"/>
      <c r="Q174" s="16"/>
      <c r="R174" s="19" t="str">
        <f t="shared" si="4"/>
        <v/>
      </c>
      <c r="S174" s="19" t="str">
        <f t="shared" si="5"/>
        <v/>
      </c>
      <c r="T174" s="17"/>
      <c r="U174" s="16"/>
      <c r="V174" s="16"/>
      <c r="W174" s="16"/>
      <c r="X174" s="16"/>
      <c r="Y174" s="16"/>
      <c r="Z174" s="16"/>
      <c r="AA174" s="16"/>
      <c r="AB174" s="20" t="str">
        <f>IF(A174="","",COUNTIF(Variants!$A$3:$A$1502,A174))</f>
        <v/>
      </c>
      <c r="AC174" s="21" t="str">
        <f>IF(A174="","",IF(IF(E174="","description, ","")&amp;IF(AND(O174="",COUNTIFS(Variants!$A$3:$A$1502,A174,Variants!$K$3:$K$1502,"&lt;&gt;")=0),"price, ","")&amp;IF(T174="","image, ","")&amp;IF(B174="","category, ","")&amp;IF(N(AB174)=0,"variant, ","")&amp;IF(AND(P174="Percentage",N(Q174)&gt;100),"discount over 100%, ","")&amp;IF(AND(P174="Fixed amount",O174&lt;&gt;"",N(Q174)&gt;N(O174)),"discount over price, ","")="","Ready","Missing: "&amp;LEFT(IF(E174="","description, ","")&amp;IF(AND(O174="",COUNTIFS(Variants!$A$3:$A$1502,A174,Variants!$K$3:$K$1502,"&lt;&gt;")=0),"price, ","")&amp;IF(T174="","image, ","")&amp;IF(B174="","category, ","")&amp;IF(N(AB174)=0,"variant, ","")&amp;IF(AND(P174="Percentage",N(Q174)&gt;100),"discount over 100%, ","")&amp;IF(AND(P174="Fixed amount",O174&lt;&gt;"",N(Q174)&gt;N(O174)),"discount over price, ",""),LEN(IF(E174="","description, ","")&amp;IF(AND(O174="",COUNTIFS(Variants!$A$3:$A$1502,A174,Variants!$K$3:$K$1502,"&lt;&gt;")=0),"price, ","")&amp;IF(T174="","image, ","")&amp;IF(B174="","category, ","")&amp;IF(N(AB174)=0,"variant, ","")&amp;IF(AND(P174="Percentage",N(Q174)&gt;100),"discount over 100%, ","")&amp;IF(AND(P174="Fixed amount",O174&lt;&gt;"",N(Q174)&gt;N(O174)),"discount over price, ",""))-2)))</f>
        <v/>
      </c>
    </row>
    <row r="175" spans="1:29" x14ac:dyDescent="0.3">
      <c r="A175" s="16"/>
      <c r="B175" s="16"/>
      <c r="C175" s="16"/>
      <c r="D175" s="17"/>
      <c r="E175" s="17"/>
      <c r="F175" s="16"/>
      <c r="G175" s="16"/>
      <c r="H175" s="16"/>
      <c r="I175" s="16"/>
      <c r="J175" s="16"/>
      <c r="K175" s="16"/>
      <c r="L175" s="17"/>
      <c r="M175" s="17"/>
      <c r="N175" s="17"/>
      <c r="O175" s="18"/>
      <c r="P175" s="16"/>
      <c r="Q175" s="16"/>
      <c r="R175" s="19" t="str">
        <f t="shared" si="4"/>
        <v/>
      </c>
      <c r="S175" s="19" t="str">
        <f t="shared" si="5"/>
        <v/>
      </c>
      <c r="T175" s="17"/>
      <c r="U175" s="16"/>
      <c r="V175" s="16"/>
      <c r="W175" s="16"/>
      <c r="X175" s="16"/>
      <c r="Y175" s="16"/>
      <c r="Z175" s="16"/>
      <c r="AA175" s="16"/>
      <c r="AB175" s="20" t="str">
        <f>IF(A175="","",COUNTIF(Variants!$A$3:$A$1502,A175))</f>
        <v/>
      </c>
      <c r="AC175" s="21" t="str">
        <f>IF(A175="","",IF(IF(E175="","description, ","")&amp;IF(AND(O175="",COUNTIFS(Variants!$A$3:$A$1502,A175,Variants!$K$3:$K$1502,"&lt;&gt;")=0),"price, ","")&amp;IF(T175="","image, ","")&amp;IF(B175="","category, ","")&amp;IF(N(AB175)=0,"variant, ","")&amp;IF(AND(P175="Percentage",N(Q175)&gt;100),"discount over 100%, ","")&amp;IF(AND(P175="Fixed amount",O175&lt;&gt;"",N(Q175)&gt;N(O175)),"discount over price, ","")="","Ready","Missing: "&amp;LEFT(IF(E175="","description, ","")&amp;IF(AND(O175="",COUNTIFS(Variants!$A$3:$A$1502,A175,Variants!$K$3:$K$1502,"&lt;&gt;")=0),"price, ","")&amp;IF(T175="","image, ","")&amp;IF(B175="","category, ","")&amp;IF(N(AB175)=0,"variant, ","")&amp;IF(AND(P175="Percentage",N(Q175)&gt;100),"discount over 100%, ","")&amp;IF(AND(P175="Fixed amount",O175&lt;&gt;"",N(Q175)&gt;N(O175)),"discount over price, ",""),LEN(IF(E175="","description, ","")&amp;IF(AND(O175="",COUNTIFS(Variants!$A$3:$A$1502,A175,Variants!$K$3:$K$1502,"&lt;&gt;")=0),"price, ","")&amp;IF(T175="","image, ","")&amp;IF(B175="","category, ","")&amp;IF(N(AB175)=0,"variant, ","")&amp;IF(AND(P175="Percentage",N(Q175)&gt;100),"discount over 100%, ","")&amp;IF(AND(P175="Fixed amount",O175&lt;&gt;"",N(Q175)&gt;N(O175)),"discount over price, ",""))-2)))</f>
        <v/>
      </c>
    </row>
    <row r="176" spans="1:29" x14ac:dyDescent="0.3">
      <c r="A176" s="16"/>
      <c r="B176" s="16"/>
      <c r="C176" s="16"/>
      <c r="D176" s="17"/>
      <c r="E176" s="17"/>
      <c r="F176" s="16"/>
      <c r="G176" s="16"/>
      <c r="H176" s="16"/>
      <c r="I176" s="16"/>
      <c r="J176" s="16"/>
      <c r="K176" s="16"/>
      <c r="L176" s="17"/>
      <c r="M176" s="17"/>
      <c r="N176" s="17"/>
      <c r="O176" s="18"/>
      <c r="P176" s="16"/>
      <c r="Q176" s="16"/>
      <c r="R176" s="19" t="str">
        <f t="shared" si="4"/>
        <v/>
      </c>
      <c r="S176" s="19" t="str">
        <f t="shared" si="5"/>
        <v/>
      </c>
      <c r="T176" s="17"/>
      <c r="U176" s="16"/>
      <c r="V176" s="16"/>
      <c r="W176" s="16"/>
      <c r="X176" s="16"/>
      <c r="Y176" s="16"/>
      <c r="Z176" s="16"/>
      <c r="AA176" s="16"/>
      <c r="AB176" s="20" t="str">
        <f>IF(A176="","",COUNTIF(Variants!$A$3:$A$1502,A176))</f>
        <v/>
      </c>
      <c r="AC176" s="21" t="str">
        <f>IF(A176="","",IF(IF(E176="","description, ","")&amp;IF(AND(O176="",COUNTIFS(Variants!$A$3:$A$1502,A176,Variants!$K$3:$K$1502,"&lt;&gt;")=0),"price, ","")&amp;IF(T176="","image, ","")&amp;IF(B176="","category, ","")&amp;IF(N(AB176)=0,"variant, ","")&amp;IF(AND(P176="Percentage",N(Q176)&gt;100),"discount over 100%, ","")&amp;IF(AND(P176="Fixed amount",O176&lt;&gt;"",N(Q176)&gt;N(O176)),"discount over price, ","")="","Ready","Missing: "&amp;LEFT(IF(E176="","description, ","")&amp;IF(AND(O176="",COUNTIFS(Variants!$A$3:$A$1502,A176,Variants!$K$3:$K$1502,"&lt;&gt;")=0),"price, ","")&amp;IF(T176="","image, ","")&amp;IF(B176="","category, ","")&amp;IF(N(AB176)=0,"variant, ","")&amp;IF(AND(P176="Percentage",N(Q176)&gt;100),"discount over 100%, ","")&amp;IF(AND(P176="Fixed amount",O176&lt;&gt;"",N(Q176)&gt;N(O176)),"discount over price, ",""),LEN(IF(E176="","description, ","")&amp;IF(AND(O176="",COUNTIFS(Variants!$A$3:$A$1502,A176,Variants!$K$3:$K$1502,"&lt;&gt;")=0),"price, ","")&amp;IF(T176="","image, ","")&amp;IF(B176="","category, ","")&amp;IF(N(AB176)=0,"variant, ","")&amp;IF(AND(P176="Percentage",N(Q176)&gt;100),"discount over 100%, ","")&amp;IF(AND(P176="Fixed amount",O176&lt;&gt;"",N(Q176)&gt;N(O176)),"discount over price, ",""))-2)))</f>
        <v/>
      </c>
    </row>
    <row r="177" spans="1:29" x14ac:dyDescent="0.3">
      <c r="A177" s="16"/>
      <c r="B177" s="16"/>
      <c r="C177" s="16"/>
      <c r="D177" s="17"/>
      <c r="E177" s="17"/>
      <c r="F177" s="16"/>
      <c r="G177" s="16"/>
      <c r="H177" s="16"/>
      <c r="I177" s="16"/>
      <c r="J177" s="16"/>
      <c r="K177" s="16"/>
      <c r="L177" s="17"/>
      <c r="M177" s="17"/>
      <c r="N177" s="17"/>
      <c r="O177" s="18"/>
      <c r="P177" s="16"/>
      <c r="Q177" s="16"/>
      <c r="R177" s="19" t="str">
        <f t="shared" si="4"/>
        <v/>
      </c>
      <c r="S177" s="19" t="str">
        <f t="shared" si="5"/>
        <v/>
      </c>
      <c r="T177" s="17"/>
      <c r="U177" s="16"/>
      <c r="V177" s="16"/>
      <c r="W177" s="16"/>
      <c r="X177" s="16"/>
      <c r="Y177" s="16"/>
      <c r="Z177" s="16"/>
      <c r="AA177" s="16"/>
      <c r="AB177" s="20" t="str">
        <f>IF(A177="","",COUNTIF(Variants!$A$3:$A$1502,A177))</f>
        <v/>
      </c>
      <c r="AC177" s="21" t="str">
        <f>IF(A177="","",IF(IF(E177="","description, ","")&amp;IF(AND(O177="",COUNTIFS(Variants!$A$3:$A$1502,A177,Variants!$K$3:$K$1502,"&lt;&gt;")=0),"price, ","")&amp;IF(T177="","image, ","")&amp;IF(B177="","category, ","")&amp;IF(N(AB177)=0,"variant, ","")&amp;IF(AND(P177="Percentage",N(Q177)&gt;100),"discount over 100%, ","")&amp;IF(AND(P177="Fixed amount",O177&lt;&gt;"",N(Q177)&gt;N(O177)),"discount over price, ","")="","Ready","Missing: "&amp;LEFT(IF(E177="","description, ","")&amp;IF(AND(O177="",COUNTIFS(Variants!$A$3:$A$1502,A177,Variants!$K$3:$K$1502,"&lt;&gt;")=0),"price, ","")&amp;IF(T177="","image, ","")&amp;IF(B177="","category, ","")&amp;IF(N(AB177)=0,"variant, ","")&amp;IF(AND(P177="Percentage",N(Q177)&gt;100),"discount over 100%, ","")&amp;IF(AND(P177="Fixed amount",O177&lt;&gt;"",N(Q177)&gt;N(O177)),"discount over price, ",""),LEN(IF(E177="","description, ","")&amp;IF(AND(O177="",COUNTIFS(Variants!$A$3:$A$1502,A177,Variants!$K$3:$K$1502,"&lt;&gt;")=0),"price, ","")&amp;IF(T177="","image, ","")&amp;IF(B177="","category, ","")&amp;IF(N(AB177)=0,"variant, ","")&amp;IF(AND(P177="Percentage",N(Q177)&gt;100),"discount over 100%, ","")&amp;IF(AND(P177="Fixed amount",O177&lt;&gt;"",N(Q177)&gt;N(O177)),"discount over price, ",""))-2)))</f>
        <v/>
      </c>
    </row>
    <row r="178" spans="1:29" x14ac:dyDescent="0.3">
      <c r="A178" s="16"/>
      <c r="B178" s="16"/>
      <c r="C178" s="16"/>
      <c r="D178" s="17"/>
      <c r="E178" s="17"/>
      <c r="F178" s="16"/>
      <c r="G178" s="16"/>
      <c r="H178" s="16"/>
      <c r="I178" s="16"/>
      <c r="J178" s="16"/>
      <c r="K178" s="16"/>
      <c r="L178" s="17"/>
      <c r="M178" s="17"/>
      <c r="N178" s="17"/>
      <c r="O178" s="18"/>
      <c r="P178" s="16"/>
      <c r="Q178" s="16"/>
      <c r="R178" s="19" t="str">
        <f t="shared" si="4"/>
        <v/>
      </c>
      <c r="S178" s="19" t="str">
        <f t="shared" si="5"/>
        <v/>
      </c>
      <c r="T178" s="17"/>
      <c r="U178" s="16"/>
      <c r="V178" s="16"/>
      <c r="W178" s="16"/>
      <c r="X178" s="16"/>
      <c r="Y178" s="16"/>
      <c r="Z178" s="16"/>
      <c r="AA178" s="16"/>
      <c r="AB178" s="20" t="str">
        <f>IF(A178="","",COUNTIF(Variants!$A$3:$A$1502,A178))</f>
        <v/>
      </c>
      <c r="AC178" s="21" t="str">
        <f>IF(A178="","",IF(IF(E178="","description, ","")&amp;IF(AND(O178="",COUNTIFS(Variants!$A$3:$A$1502,A178,Variants!$K$3:$K$1502,"&lt;&gt;")=0),"price, ","")&amp;IF(T178="","image, ","")&amp;IF(B178="","category, ","")&amp;IF(N(AB178)=0,"variant, ","")&amp;IF(AND(P178="Percentage",N(Q178)&gt;100),"discount over 100%, ","")&amp;IF(AND(P178="Fixed amount",O178&lt;&gt;"",N(Q178)&gt;N(O178)),"discount over price, ","")="","Ready","Missing: "&amp;LEFT(IF(E178="","description, ","")&amp;IF(AND(O178="",COUNTIFS(Variants!$A$3:$A$1502,A178,Variants!$K$3:$K$1502,"&lt;&gt;")=0),"price, ","")&amp;IF(T178="","image, ","")&amp;IF(B178="","category, ","")&amp;IF(N(AB178)=0,"variant, ","")&amp;IF(AND(P178="Percentage",N(Q178)&gt;100),"discount over 100%, ","")&amp;IF(AND(P178="Fixed amount",O178&lt;&gt;"",N(Q178)&gt;N(O178)),"discount over price, ",""),LEN(IF(E178="","description, ","")&amp;IF(AND(O178="",COUNTIFS(Variants!$A$3:$A$1502,A178,Variants!$K$3:$K$1502,"&lt;&gt;")=0),"price, ","")&amp;IF(T178="","image, ","")&amp;IF(B178="","category, ","")&amp;IF(N(AB178)=0,"variant, ","")&amp;IF(AND(P178="Percentage",N(Q178)&gt;100),"discount over 100%, ","")&amp;IF(AND(P178="Fixed amount",O178&lt;&gt;"",N(Q178)&gt;N(O178)),"discount over price, ",""))-2)))</f>
        <v/>
      </c>
    </row>
    <row r="179" spans="1:29" x14ac:dyDescent="0.3">
      <c r="A179" s="16"/>
      <c r="B179" s="16"/>
      <c r="C179" s="16"/>
      <c r="D179" s="17"/>
      <c r="E179" s="17"/>
      <c r="F179" s="16"/>
      <c r="G179" s="16"/>
      <c r="H179" s="16"/>
      <c r="I179" s="16"/>
      <c r="J179" s="16"/>
      <c r="K179" s="16"/>
      <c r="L179" s="17"/>
      <c r="M179" s="17"/>
      <c r="N179" s="17"/>
      <c r="O179" s="18"/>
      <c r="P179" s="16"/>
      <c r="Q179" s="16"/>
      <c r="R179" s="19" t="str">
        <f t="shared" si="4"/>
        <v/>
      </c>
      <c r="S179" s="19" t="str">
        <f t="shared" si="5"/>
        <v/>
      </c>
      <c r="T179" s="17"/>
      <c r="U179" s="16"/>
      <c r="V179" s="16"/>
      <c r="W179" s="16"/>
      <c r="X179" s="16"/>
      <c r="Y179" s="16"/>
      <c r="Z179" s="16"/>
      <c r="AA179" s="16"/>
      <c r="AB179" s="20" t="str">
        <f>IF(A179="","",COUNTIF(Variants!$A$3:$A$1502,A179))</f>
        <v/>
      </c>
      <c r="AC179" s="21" t="str">
        <f>IF(A179="","",IF(IF(E179="","description, ","")&amp;IF(AND(O179="",COUNTIFS(Variants!$A$3:$A$1502,A179,Variants!$K$3:$K$1502,"&lt;&gt;")=0),"price, ","")&amp;IF(T179="","image, ","")&amp;IF(B179="","category, ","")&amp;IF(N(AB179)=0,"variant, ","")&amp;IF(AND(P179="Percentage",N(Q179)&gt;100),"discount over 100%, ","")&amp;IF(AND(P179="Fixed amount",O179&lt;&gt;"",N(Q179)&gt;N(O179)),"discount over price, ","")="","Ready","Missing: "&amp;LEFT(IF(E179="","description, ","")&amp;IF(AND(O179="",COUNTIFS(Variants!$A$3:$A$1502,A179,Variants!$K$3:$K$1502,"&lt;&gt;")=0),"price, ","")&amp;IF(T179="","image, ","")&amp;IF(B179="","category, ","")&amp;IF(N(AB179)=0,"variant, ","")&amp;IF(AND(P179="Percentage",N(Q179)&gt;100),"discount over 100%, ","")&amp;IF(AND(P179="Fixed amount",O179&lt;&gt;"",N(Q179)&gt;N(O179)),"discount over price, ",""),LEN(IF(E179="","description, ","")&amp;IF(AND(O179="",COUNTIFS(Variants!$A$3:$A$1502,A179,Variants!$K$3:$K$1502,"&lt;&gt;")=0),"price, ","")&amp;IF(T179="","image, ","")&amp;IF(B179="","category, ","")&amp;IF(N(AB179)=0,"variant, ","")&amp;IF(AND(P179="Percentage",N(Q179)&gt;100),"discount over 100%, ","")&amp;IF(AND(P179="Fixed amount",O179&lt;&gt;"",N(Q179)&gt;N(O179)),"discount over price, ",""))-2)))</f>
        <v/>
      </c>
    </row>
    <row r="180" spans="1:29" x14ac:dyDescent="0.3">
      <c r="A180" s="16"/>
      <c r="B180" s="16"/>
      <c r="C180" s="16"/>
      <c r="D180" s="17"/>
      <c r="E180" s="17"/>
      <c r="F180" s="16"/>
      <c r="G180" s="16"/>
      <c r="H180" s="16"/>
      <c r="I180" s="16"/>
      <c r="J180" s="16"/>
      <c r="K180" s="16"/>
      <c r="L180" s="17"/>
      <c r="M180" s="17"/>
      <c r="N180" s="17"/>
      <c r="O180" s="18"/>
      <c r="P180" s="16"/>
      <c r="Q180" s="16"/>
      <c r="R180" s="19" t="str">
        <f t="shared" si="4"/>
        <v/>
      </c>
      <c r="S180" s="19" t="str">
        <f t="shared" si="5"/>
        <v/>
      </c>
      <c r="T180" s="17"/>
      <c r="U180" s="16"/>
      <c r="V180" s="16"/>
      <c r="W180" s="16"/>
      <c r="X180" s="16"/>
      <c r="Y180" s="16"/>
      <c r="Z180" s="16"/>
      <c r="AA180" s="16"/>
      <c r="AB180" s="20" t="str">
        <f>IF(A180="","",COUNTIF(Variants!$A$3:$A$1502,A180))</f>
        <v/>
      </c>
      <c r="AC180" s="21" t="str">
        <f>IF(A180="","",IF(IF(E180="","description, ","")&amp;IF(AND(O180="",COUNTIFS(Variants!$A$3:$A$1502,A180,Variants!$K$3:$K$1502,"&lt;&gt;")=0),"price, ","")&amp;IF(T180="","image, ","")&amp;IF(B180="","category, ","")&amp;IF(N(AB180)=0,"variant, ","")&amp;IF(AND(P180="Percentage",N(Q180)&gt;100),"discount over 100%, ","")&amp;IF(AND(P180="Fixed amount",O180&lt;&gt;"",N(Q180)&gt;N(O180)),"discount over price, ","")="","Ready","Missing: "&amp;LEFT(IF(E180="","description, ","")&amp;IF(AND(O180="",COUNTIFS(Variants!$A$3:$A$1502,A180,Variants!$K$3:$K$1502,"&lt;&gt;")=0),"price, ","")&amp;IF(T180="","image, ","")&amp;IF(B180="","category, ","")&amp;IF(N(AB180)=0,"variant, ","")&amp;IF(AND(P180="Percentage",N(Q180)&gt;100),"discount over 100%, ","")&amp;IF(AND(P180="Fixed amount",O180&lt;&gt;"",N(Q180)&gt;N(O180)),"discount over price, ",""),LEN(IF(E180="","description, ","")&amp;IF(AND(O180="",COUNTIFS(Variants!$A$3:$A$1502,A180,Variants!$K$3:$K$1502,"&lt;&gt;")=0),"price, ","")&amp;IF(T180="","image, ","")&amp;IF(B180="","category, ","")&amp;IF(N(AB180)=0,"variant, ","")&amp;IF(AND(P180="Percentage",N(Q180)&gt;100),"discount over 100%, ","")&amp;IF(AND(P180="Fixed amount",O180&lt;&gt;"",N(Q180)&gt;N(O180)),"discount over price, ",""))-2)))</f>
        <v/>
      </c>
    </row>
    <row r="181" spans="1:29" x14ac:dyDescent="0.3">
      <c r="A181" s="16"/>
      <c r="B181" s="16"/>
      <c r="C181" s="16"/>
      <c r="D181" s="17"/>
      <c r="E181" s="17"/>
      <c r="F181" s="16"/>
      <c r="G181" s="16"/>
      <c r="H181" s="16"/>
      <c r="I181" s="16"/>
      <c r="J181" s="16"/>
      <c r="K181" s="16"/>
      <c r="L181" s="17"/>
      <c r="M181" s="17"/>
      <c r="N181" s="17"/>
      <c r="O181" s="18"/>
      <c r="P181" s="16"/>
      <c r="Q181" s="16"/>
      <c r="R181" s="19" t="str">
        <f t="shared" si="4"/>
        <v/>
      </c>
      <c r="S181" s="19" t="str">
        <f t="shared" si="5"/>
        <v/>
      </c>
      <c r="T181" s="17"/>
      <c r="U181" s="16"/>
      <c r="V181" s="16"/>
      <c r="W181" s="16"/>
      <c r="X181" s="16"/>
      <c r="Y181" s="16"/>
      <c r="Z181" s="16"/>
      <c r="AA181" s="16"/>
      <c r="AB181" s="20" t="str">
        <f>IF(A181="","",COUNTIF(Variants!$A$3:$A$1502,A181))</f>
        <v/>
      </c>
      <c r="AC181" s="21" t="str">
        <f>IF(A181="","",IF(IF(E181="","description, ","")&amp;IF(AND(O181="",COUNTIFS(Variants!$A$3:$A$1502,A181,Variants!$K$3:$K$1502,"&lt;&gt;")=0),"price, ","")&amp;IF(T181="","image, ","")&amp;IF(B181="","category, ","")&amp;IF(N(AB181)=0,"variant, ","")&amp;IF(AND(P181="Percentage",N(Q181)&gt;100),"discount over 100%, ","")&amp;IF(AND(P181="Fixed amount",O181&lt;&gt;"",N(Q181)&gt;N(O181)),"discount over price, ","")="","Ready","Missing: "&amp;LEFT(IF(E181="","description, ","")&amp;IF(AND(O181="",COUNTIFS(Variants!$A$3:$A$1502,A181,Variants!$K$3:$K$1502,"&lt;&gt;")=0),"price, ","")&amp;IF(T181="","image, ","")&amp;IF(B181="","category, ","")&amp;IF(N(AB181)=0,"variant, ","")&amp;IF(AND(P181="Percentage",N(Q181)&gt;100),"discount over 100%, ","")&amp;IF(AND(P181="Fixed amount",O181&lt;&gt;"",N(Q181)&gt;N(O181)),"discount over price, ",""),LEN(IF(E181="","description, ","")&amp;IF(AND(O181="",COUNTIFS(Variants!$A$3:$A$1502,A181,Variants!$K$3:$K$1502,"&lt;&gt;")=0),"price, ","")&amp;IF(T181="","image, ","")&amp;IF(B181="","category, ","")&amp;IF(N(AB181)=0,"variant, ","")&amp;IF(AND(P181="Percentage",N(Q181)&gt;100),"discount over 100%, ","")&amp;IF(AND(P181="Fixed amount",O181&lt;&gt;"",N(Q181)&gt;N(O181)),"discount over price, ",""))-2)))</f>
        <v/>
      </c>
    </row>
    <row r="182" spans="1:29" x14ac:dyDescent="0.3">
      <c r="A182" s="16"/>
      <c r="B182" s="16"/>
      <c r="C182" s="16"/>
      <c r="D182" s="17"/>
      <c r="E182" s="17"/>
      <c r="F182" s="16"/>
      <c r="G182" s="16"/>
      <c r="H182" s="16"/>
      <c r="I182" s="16"/>
      <c r="J182" s="16"/>
      <c r="K182" s="16"/>
      <c r="L182" s="17"/>
      <c r="M182" s="17"/>
      <c r="N182" s="17"/>
      <c r="O182" s="18"/>
      <c r="P182" s="16"/>
      <c r="Q182" s="16"/>
      <c r="R182" s="19" t="str">
        <f t="shared" si="4"/>
        <v/>
      </c>
      <c r="S182" s="19" t="str">
        <f t="shared" si="5"/>
        <v/>
      </c>
      <c r="T182" s="17"/>
      <c r="U182" s="16"/>
      <c r="V182" s="16"/>
      <c r="W182" s="16"/>
      <c r="X182" s="16"/>
      <c r="Y182" s="16"/>
      <c r="Z182" s="16"/>
      <c r="AA182" s="16"/>
      <c r="AB182" s="20" t="str">
        <f>IF(A182="","",COUNTIF(Variants!$A$3:$A$1502,A182))</f>
        <v/>
      </c>
      <c r="AC182" s="21" t="str">
        <f>IF(A182="","",IF(IF(E182="","description, ","")&amp;IF(AND(O182="",COUNTIFS(Variants!$A$3:$A$1502,A182,Variants!$K$3:$K$1502,"&lt;&gt;")=0),"price, ","")&amp;IF(T182="","image, ","")&amp;IF(B182="","category, ","")&amp;IF(N(AB182)=0,"variant, ","")&amp;IF(AND(P182="Percentage",N(Q182)&gt;100),"discount over 100%, ","")&amp;IF(AND(P182="Fixed amount",O182&lt;&gt;"",N(Q182)&gt;N(O182)),"discount over price, ","")="","Ready","Missing: "&amp;LEFT(IF(E182="","description, ","")&amp;IF(AND(O182="",COUNTIFS(Variants!$A$3:$A$1502,A182,Variants!$K$3:$K$1502,"&lt;&gt;")=0),"price, ","")&amp;IF(T182="","image, ","")&amp;IF(B182="","category, ","")&amp;IF(N(AB182)=0,"variant, ","")&amp;IF(AND(P182="Percentage",N(Q182)&gt;100),"discount over 100%, ","")&amp;IF(AND(P182="Fixed amount",O182&lt;&gt;"",N(Q182)&gt;N(O182)),"discount over price, ",""),LEN(IF(E182="","description, ","")&amp;IF(AND(O182="",COUNTIFS(Variants!$A$3:$A$1502,A182,Variants!$K$3:$K$1502,"&lt;&gt;")=0),"price, ","")&amp;IF(T182="","image, ","")&amp;IF(B182="","category, ","")&amp;IF(N(AB182)=0,"variant, ","")&amp;IF(AND(P182="Percentage",N(Q182)&gt;100),"discount over 100%, ","")&amp;IF(AND(P182="Fixed amount",O182&lt;&gt;"",N(Q182)&gt;N(O182)),"discount over price, ",""))-2)))</f>
        <v/>
      </c>
    </row>
    <row r="183" spans="1:29" x14ac:dyDescent="0.3">
      <c r="A183" s="16"/>
      <c r="B183" s="16"/>
      <c r="C183" s="16"/>
      <c r="D183" s="17"/>
      <c r="E183" s="17"/>
      <c r="F183" s="16"/>
      <c r="G183" s="16"/>
      <c r="H183" s="16"/>
      <c r="I183" s="16"/>
      <c r="J183" s="16"/>
      <c r="K183" s="16"/>
      <c r="L183" s="17"/>
      <c r="M183" s="17"/>
      <c r="N183" s="17"/>
      <c r="O183" s="18"/>
      <c r="P183" s="16"/>
      <c r="Q183" s="16"/>
      <c r="R183" s="19" t="str">
        <f t="shared" si="4"/>
        <v/>
      </c>
      <c r="S183" s="19" t="str">
        <f t="shared" si="5"/>
        <v/>
      </c>
      <c r="T183" s="17"/>
      <c r="U183" s="16"/>
      <c r="V183" s="16"/>
      <c r="W183" s="16"/>
      <c r="X183" s="16"/>
      <c r="Y183" s="16"/>
      <c r="Z183" s="16"/>
      <c r="AA183" s="16"/>
      <c r="AB183" s="20" t="str">
        <f>IF(A183="","",COUNTIF(Variants!$A$3:$A$1502,A183))</f>
        <v/>
      </c>
      <c r="AC183" s="21" t="str">
        <f>IF(A183="","",IF(IF(E183="","description, ","")&amp;IF(AND(O183="",COUNTIFS(Variants!$A$3:$A$1502,A183,Variants!$K$3:$K$1502,"&lt;&gt;")=0),"price, ","")&amp;IF(T183="","image, ","")&amp;IF(B183="","category, ","")&amp;IF(N(AB183)=0,"variant, ","")&amp;IF(AND(P183="Percentage",N(Q183)&gt;100),"discount over 100%, ","")&amp;IF(AND(P183="Fixed amount",O183&lt;&gt;"",N(Q183)&gt;N(O183)),"discount over price, ","")="","Ready","Missing: "&amp;LEFT(IF(E183="","description, ","")&amp;IF(AND(O183="",COUNTIFS(Variants!$A$3:$A$1502,A183,Variants!$K$3:$K$1502,"&lt;&gt;")=0),"price, ","")&amp;IF(T183="","image, ","")&amp;IF(B183="","category, ","")&amp;IF(N(AB183)=0,"variant, ","")&amp;IF(AND(P183="Percentage",N(Q183)&gt;100),"discount over 100%, ","")&amp;IF(AND(P183="Fixed amount",O183&lt;&gt;"",N(Q183)&gt;N(O183)),"discount over price, ",""),LEN(IF(E183="","description, ","")&amp;IF(AND(O183="",COUNTIFS(Variants!$A$3:$A$1502,A183,Variants!$K$3:$K$1502,"&lt;&gt;")=0),"price, ","")&amp;IF(T183="","image, ","")&amp;IF(B183="","category, ","")&amp;IF(N(AB183)=0,"variant, ","")&amp;IF(AND(P183="Percentage",N(Q183)&gt;100),"discount over 100%, ","")&amp;IF(AND(P183="Fixed amount",O183&lt;&gt;"",N(Q183)&gt;N(O183)),"discount over price, ",""))-2)))</f>
        <v/>
      </c>
    </row>
    <row r="184" spans="1:29" x14ac:dyDescent="0.3">
      <c r="A184" s="16"/>
      <c r="B184" s="16"/>
      <c r="C184" s="16"/>
      <c r="D184" s="17"/>
      <c r="E184" s="17"/>
      <c r="F184" s="16"/>
      <c r="G184" s="16"/>
      <c r="H184" s="16"/>
      <c r="I184" s="16"/>
      <c r="J184" s="16"/>
      <c r="K184" s="16"/>
      <c r="L184" s="17"/>
      <c r="M184" s="17"/>
      <c r="N184" s="17"/>
      <c r="O184" s="18"/>
      <c r="P184" s="16"/>
      <c r="Q184" s="16"/>
      <c r="R184" s="19" t="str">
        <f t="shared" si="4"/>
        <v/>
      </c>
      <c r="S184" s="19" t="str">
        <f t="shared" si="5"/>
        <v/>
      </c>
      <c r="T184" s="17"/>
      <c r="U184" s="16"/>
      <c r="V184" s="16"/>
      <c r="W184" s="16"/>
      <c r="X184" s="16"/>
      <c r="Y184" s="16"/>
      <c r="Z184" s="16"/>
      <c r="AA184" s="16"/>
      <c r="AB184" s="20" t="str">
        <f>IF(A184="","",COUNTIF(Variants!$A$3:$A$1502,A184))</f>
        <v/>
      </c>
      <c r="AC184" s="21" t="str">
        <f>IF(A184="","",IF(IF(E184="","description, ","")&amp;IF(AND(O184="",COUNTIFS(Variants!$A$3:$A$1502,A184,Variants!$K$3:$K$1502,"&lt;&gt;")=0),"price, ","")&amp;IF(T184="","image, ","")&amp;IF(B184="","category, ","")&amp;IF(N(AB184)=0,"variant, ","")&amp;IF(AND(P184="Percentage",N(Q184)&gt;100),"discount over 100%, ","")&amp;IF(AND(P184="Fixed amount",O184&lt;&gt;"",N(Q184)&gt;N(O184)),"discount over price, ","")="","Ready","Missing: "&amp;LEFT(IF(E184="","description, ","")&amp;IF(AND(O184="",COUNTIFS(Variants!$A$3:$A$1502,A184,Variants!$K$3:$K$1502,"&lt;&gt;")=0),"price, ","")&amp;IF(T184="","image, ","")&amp;IF(B184="","category, ","")&amp;IF(N(AB184)=0,"variant, ","")&amp;IF(AND(P184="Percentage",N(Q184)&gt;100),"discount over 100%, ","")&amp;IF(AND(P184="Fixed amount",O184&lt;&gt;"",N(Q184)&gt;N(O184)),"discount over price, ",""),LEN(IF(E184="","description, ","")&amp;IF(AND(O184="",COUNTIFS(Variants!$A$3:$A$1502,A184,Variants!$K$3:$K$1502,"&lt;&gt;")=0),"price, ","")&amp;IF(T184="","image, ","")&amp;IF(B184="","category, ","")&amp;IF(N(AB184)=0,"variant, ","")&amp;IF(AND(P184="Percentage",N(Q184)&gt;100),"discount over 100%, ","")&amp;IF(AND(P184="Fixed amount",O184&lt;&gt;"",N(Q184)&gt;N(O184)),"discount over price, ",""))-2)))</f>
        <v/>
      </c>
    </row>
    <row r="185" spans="1:29" x14ac:dyDescent="0.3">
      <c r="A185" s="16"/>
      <c r="B185" s="16"/>
      <c r="C185" s="16"/>
      <c r="D185" s="17"/>
      <c r="E185" s="17"/>
      <c r="F185" s="16"/>
      <c r="G185" s="16"/>
      <c r="H185" s="16"/>
      <c r="I185" s="16"/>
      <c r="J185" s="16"/>
      <c r="K185" s="16"/>
      <c r="L185" s="17"/>
      <c r="M185" s="17"/>
      <c r="N185" s="17"/>
      <c r="O185" s="18"/>
      <c r="P185" s="16"/>
      <c r="Q185" s="16"/>
      <c r="R185" s="19" t="str">
        <f t="shared" si="4"/>
        <v/>
      </c>
      <c r="S185" s="19" t="str">
        <f t="shared" si="5"/>
        <v/>
      </c>
      <c r="T185" s="17"/>
      <c r="U185" s="16"/>
      <c r="V185" s="16"/>
      <c r="W185" s="16"/>
      <c r="X185" s="16"/>
      <c r="Y185" s="16"/>
      <c r="Z185" s="16"/>
      <c r="AA185" s="16"/>
      <c r="AB185" s="20" t="str">
        <f>IF(A185="","",COUNTIF(Variants!$A$3:$A$1502,A185))</f>
        <v/>
      </c>
      <c r="AC185" s="21" t="str">
        <f>IF(A185="","",IF(IF(E185="","description, ","")&amp;IF(AND(O185="",COUNTIFS(Variants!$A$3:$A$1502,A185,Variants!$K$3:$K$1502,"&lt;&gt;")=0),"price, ","")&amp;IF(T185="","image, ","")&amp;IF(B185="","category, ","")&amp;IF(N(AB185)=0,"variant, ","")&amp;IF(AND(P185="Percentage",N(Q185)&gt;100),"discount over 100%, ","")&amp;IF(AND(P185="Fixed amount",O185&lt;&gt;"",N(Q185)&gt;N(O185)),"discount over price, ","")="","Ready","Missing: "&amp;LEFT(IF(E185="","description, ","")&amp;IF(AND(O185="",COUNTIFS(Variants!$A$3:$A$1502,A185,Variants!$K$3:$K$1502,"&lt;&gt;")=0),"price, ","")&amp;IF(T185="","image, ","")&amp;IF(B185="","category, ","")&amp;IF(N(AB185)=0,"variant, ","")&amp;IF(AND(P185="Percentage",N(Q185)&gt;100),"discount over 100%, ","")&amp;IF(AND(P185="Fixed amount",O185&lt;&gt;"",N(Q185)&gt;N(O185)),"discount over price, ",""),LEN(IF(E185="","description, ","")&amp;IF(AND(O185="",COUNTIFS(Variants!$A$3:$A$1502,A185,Variants!$K$3:$K$1502,"&lt;&gt;")=0),"price, ","")&amp;IF(T185="","image, ","")&amp;IF(B185="","category, ","")&amp;IF(N(AB185)=0,"variant, ","")&amp;IF(AND(P185="Percentage",N(Q185)&gt;100),"discount over 100%, ","")&amp;IF(AND(P185="Fixed amount",O185&lt;&gt;"",N(Q185)&gt;N(O185)),"discount over price, ",""))-2)))</f>
        <v/>
      </c>
    </row>
    <row r="186" spans="1:29" x14ac:dyDescent="0.3">
      <c r="A186" s="16"/>
      <c r="B186" s="16"/>
      <c r="C186" s="16"/>
      <c r="D186" s="17"/>
      <c r="E186" s="17"/>
      <c r="F186" s="16"/>
      <c r="G186" s="16"/>
      <c r="H186" s="16"/>
      <c r="I186" s="16"/>
      <c r="J186" s="16"/>
      <c r="K186" s="16"/>
      <c r="L186" s="17"/>
      <c r="M186" s="17"/>
      <c r="N186" s="17"/>
      <c r="O186" s="18"/>
      <c r="P186" s="16"/>
      <c r="Q186" s="16"/>
      <c r="R186" s="19" t="str">
        <f t="shared" si="4"/>
        <v/>
      </c>
      <c r="S186" s="19" t="str">
        <f t="shared" si="5"/>
        <v/>
      </c>
      <c r="T186" s="17"/>
      <c r="U186" s="16"/>
      <c r="V186" s="16"/>
      <c r="W186" s="16"/>
      <c r="X186" s="16"/>
      <c r="Y186" s="16"/>
      <c r="Z186" s="16"/>
      <c r="AA186" s="16"/>
      <c r="AB186" s="20" t="str">
        <f>IF(A186="","",COUNTIF(Variants!$A$3:$A$1502,A186))</f>
        <v/>
      </c>
      <c r="AC186" s="21" t="str">
        <f>IF(A186="","",IF(IF(E186="","description, ","")&amp;IF(AND(O186="",COUNTIFS(Variants!$A$3:$A$1502,A186,Variants!$K$3:$K$1502,"&lt;&gt;")=0),"price, ","")&amp;IF(T186="","image, ","")&amp;IF(B186="","category, ","")&amp;IF(N(AB186)=0,"variant, ","")&amp;IF(AND(P186="Percentage",N(Q186)&gt;100),"discount over 100%, ","")&amp;IF(AND(P186="Fixed amount",O186&lt;&gt;"",N(Q186)&gt;N(O186)),"discount over price, ","")="","Ready","Missing: "&amp;LEFT(IF(E186="","description, ","")&amp;IF(AND(O186="",COUNTIFS(Variants!$A$3:$A$1502,A186,Variants!$K$3:$K$1502,"&lt;&gt;")=0),"price, ","")&amp;IF(T186="","image, ","")&amp;IF(B186="","category, ","")&amp;IF(N(AB186)=0,"variant, ","")&amp;IF(AND(P186="Percentage",N(Q186)&gt;100),"discount over 100%, ","")&amp;IF(AND(P186="Fixed amount",O186&lt;&gt;"",N(Q186)&gt;N(O186)),"discount over price, ",""),LEN(IF(E186="","description, ","")&amp;IF(AND(O186="",COUNTIFS(Variants!$A$3:$A$1502,A186,Variants!$K$3:$K$1502,"&lt;&gt;")=0),"price, ","")&amp;IF(T186="","image, ","")&amp;IF(B186="","category, ","")&amp;IF(N(AB186)=0,"variant, ","")&amp;IF(AND(P186="Percentage",N(Q186)&gt;100),"discount over 100%, ","")&amp;IF(AND(P186="Fixed amount",O186&lt;&gt;"",N(Q186)&gt;N(O186)),"discount over price, ",""))-2)))</f>
        <v/>
      </c>
    </row>
    <row r="187" spans="1:29" x14ac:dyDescent="0.3">
      <c r="A187" s="16"/>
      <c r="B187" s="16"/>
      <c r="C187" s="16"/>
      <c r="D187" s="17"/>
      <c r="E187" s="17"/>
      <c r="F187" s="16"/>
      <c r="G187" s="16"/>
      <c r="H187" s="16"/>
      <c r="I187" s="16"/>
      <c r="J187" s="16"/>
      <c r="K187" s="16"/>
      <c r="L187" s="17"/>
      <c r="M187" s="17"/>
      <c r="N187" s="17"/>
      <c r="O187" s="18"/>
      <c r="P187" s="16"/>
      <c r="Q187" s="16"/>
      <c r="R187" s="19" t="str">
        <f t="shared" si="4"/>
        <v/>
      </c>
      <c r="S187" s="19" t="str">
        <f t="shared" si="5"/>
        <v/>
      </c>
      <c r="T187" s="17"/>
      <c r="U187" s="16"/>
      <c r="V187" s="16"/>
      <c r="W187" s="16"/>
      <c r="X187" s="16"/>
      <c r="Y187" s="16"/>
      <c r="Z187" s="16"/>
      <c r="AA187" s="16"/>
      <c r="AB187" s="20" t="str">
        <f>IF(A187="","",COUNTIF(Variants!$A$3:$A$1502,A187))</f>
        <v/>
      </c>
      <c r="AC187" s="21" t="str">
        <f>IF(A187="","",IF(IF(E187="","description, ","")&amp;IF(AND(O187="",COUNTIFS(Variants!$A$3:$A$1502,A187,Variants!$K$3:$K$1502,"&lt;&gt;")=0),"price, ","")&amp;IF(T187="","image, ","")&amp;IF(B187="","category, ","")&amp;IF(N(AB187)=0,"variant, ","")&amp;IF(AND(P187="Percentage",N(Q187)&gt;100),"discount over 100%, ","")&amp;IF(AND(P187="Fixed amount",O187&lt;&gt;"",N(Q187)&gt;N(O187)),"discount over price, ","")="","Ready","Missing: "&amp;LEFT(IF(E187="","description, ","")&amp;IF(AND(O187="",COUNTIFS(Variants!$A$3:$A$1502,A187,Variants!$K$3:$K$1502,"&lt;&gt;")=0),"price, ","")&amp;IF(T187="","image, ","")&amp;IF(B187="","category, ","")&amp;IF(N(AB187)=0,"variant, ","")&amp;IF(AND(P187="Percentage",N(Q187)&gt;100),"discount over 100%, ","")&amp;IF(AND(P187="Fixed amount",O187&lt;&gt;"",N(Q187)&gt;N(O187)),"discount over price, ",""),LEN(IF(E187="","description, ","")&amp;IF(AND(O187="",COUNTIFS(Variants!$A$3:$A$1502,A187,Variants!$K$3:$K$1502,"&lt;&gt;")=0),"price, ","")&amp;IF(T187="","image, ","")&amp;IF(B187="","category, ","")&amp;IF(N(AB187)=0,"variant, ","")&amp;IF(AND(P187="Percentage",N(Q187)&gt;100),"discount over 100%, ","")&amp;IF(AND(P187="Fixed amount",O187&lt;&gt;"",N(Q187)&gt;N(O187)),"discount over price, ",""))-2)))</f>
        <v/>
      </c>
    </row>
    <row r="188" spans="1:29" x14ac:dyDescent="0.3">
      <c r="A188" s="16"/>
      <c r="B188" s="16"/>
      <c r="C188" s="16"/>
      <c r="D188" s="17"/>
      <c r="E188" s="17"/>
      <c r="F188" s="16"/>
      <c r="G188" s="16"/>
      <c r="H188" s="16"/>
      <c r="I188" s="16"/>
      <c r="J188" s="16"/>
      <c r="K188" s="16"/>
      <c r="L188" s="17"/>
      <c r="M188" s="17"/>
      <c r="N188" s="17"/>
      <c r="O188" s="18"/>
      <c r="P188" s="16"/>
      <c r="Q188" s="16"/>
      <c r="R188" s="19" t="str">
        <f t="shared" si="4"/>
        <v/>
      </c>
      <c r="S188" s="19" t="str">
        <f t="shared" si="5"/>
        <v/>
      </c>
      <c r="T188" s="17"/>
      <c r="U188" s="16"/>
      <c r="V188" s="16"/>
      <c r="W188" s="16"/>
      <c r="X188" s="16"/>
      <c r="Y188" s="16"/>
      <c r="Z188" s="16"/>
      <c r="AA188" s="16"/>
      <c r="AB188" s="20" t="str">
        <f>IF(A188="","",COUNTIF(Variants!$A$3:$A$1502,A188))</f>
        <v/>
      </c>
      <c r="AC188" s="21" t="str">
        <f>IF(A188="","",IF(IF(E188="","description, ","")&amp;IF(AND(O188="",COUNTIFS(Variants!$A$3:$A$1502,A188,Variants!$K$3:$K$1502,"&lt;&gt;")=0),"price, ","")&amp;IF(T188="","image, ","")&amp;IF(B188="","category, ","")&amp;IF(N(AB188)=0,"variant, ","")&amp;IF(AND(P188="Percentage",N(Q188)&gt;100),"discount over 100%, ","")&amp;IF(AND(P188="Fixed amount",O188&lt;&gt;"",N(Q188)&gt;N(O188)),"discount over price, ","")="","Ready","Missing: "&amp;LEFT(IF(E188="","description, ","")&amp;IF(AND(O188="",COUNTIFS(Variants!$A$3:$A$1502,A188,Variants!$K$3:$K$1502,"&lt;&gt;")=0),"price, ","")&amp;IF(T188="","image, ","")&amp;IF(B188="","category, ","")&amp;IF(N(AB188)=0,"variant, ","")&amp;IF(AND(P188="Percentage",N(Q188)&gt;100),"discount over 100%, ","")&amp;IF(AND(P188="Fixed amount",O188&lt;&gt;"",N(Q188)&gt;N(O188)),"discount over price, ",""),LEN(IF(E188="","description, ","")&amp;IF(AND(O188="",COUNTIFS(Variants!$A$3:$A$1502,A188,Variants!$K$3:$K$1502,"&lt;&gt;")=0),"price, ","")&amp;IF(T188="","image, ","")&amp;IF(B188="","category, ","")&amp;IF(N(AB188)=0,"variant, ","")&amp;IF(AND(P188="Percentage",N(Q188)&gt;100),"discount over 100%, ","")&amp;IF(AND(P188="Fixed amount",O188&lt;&gt;"",N(Q188)&gt;N(O188)),"discount over price, ",""))-2)))</f>
        <v/>
      </c>
    </row>
    <row r="189" spans="1:29" x14ac:dyDescent="0.3">
      <c r="A189" s="16"/>
      <c r="B189" s="16"/>
      <c r="C189" s="16"/>
      <c r="D189" s="17"/>
      <c r="E189" s="17"/>
      <c r="F189" s="16"/>
      <c r="G189" s="16"/>
      <c r="H189" s="16"/>
      <c r="I189" s="16"/>
      <c r="J189" s="16"/>
      <c r="K189" s="16"/>
      <c r="L189" s="17"/>
      <c r="M189" s="17"/>
      <c r="N189" s="17"/>
      <c r="O189" s="18"/>
      <c r="P189" s="16"/>
      <c r="Q189" s="16"/>
      <c r="R189" s="19" t="str">
        <f t="shared" si="4"/>
        <v/>
      </c>
      <c r="S189" s="19" t="str">
        <f t="shared" si="5"/>
        <v/>
      </c>
      <c r="T189" s="17"/>
      <c r="U189" s="16"/>
      <c r="V189" s="16"/>
      <c r="W189" s="16"/>
      <c r="X189" s="16"/>
      <c r="Y189" s="16"/>
      <c r="Z189" s="16"/>
      <c r="AA189" s="16"/>
      <c r="AB189" s="20" t="str">
        <f>IF(A189="","",COUNTIF(Variants!$A$3:$A$1502,A189))</f>
        <v/>
      </c>
      <c r="AC189" s="21" t="str">
        <f>IF(A189="","",IF(IF(E189="","description, ","")&amp;IF(AND(O189="",COUNTIFS(Variants!$A$3:$A$1502,A189,Variants!$K$3:$K$1502,"&lt;&gt;")=0),"price, ","")&amp;IF(T189="","image, ","")&amp;IF(B189="","category, ","")&amp;IF(N(AB189)=0,"variant, ","")&amp;IF(AND(P189="Percentage",N(Q189)&gt;100),"discount over 100%, ","")&amp;IF(AND(P189="Fixed amount",O189&lt;&gt;"",N(Q189)&gt;N(O189)),"discount over price, ","")="","Ready","Missing: "&amp;LEFT(IF(E189="","description, ","")&amp;IF(AND(O189="",COUNTIFS(Variants!$A$3:$A$1502,A189,Variants!$K$3:$K$1502,"&lt;&gt;")=0),"price, ","")&amp;IF(T189="","image, ","")&amp;IF(B189="","category, ","")&amp;IF(N(AB189)=0,"variant, ","")&amp;IF(AND(P189="Percentage",N(Q189)&gt;100),"discount over 100%, ","")&amp;IF(AND(P189="Fixed amount",O189&lt;&gt;"",N(Q189)&gt;N(O189)),"discount over price, ",""),LEN(IF(E189="","description, ","")&amp;IF(AND(O189="",COUNTIFS(Variants!$A$3:$A$1502,A189,Variants!$K$3:$K$1502,"&lt;&gt;")=0),"price, ","")&amp;IF(T189="","image, ","")&amp;IF(B189="","category, ","")&amp;IF(N(AB189)=0,"variant, ","")&amp;IF(AND(P189="Percentage",N(Q189)&gt;100),"discount over 100%, ","")&amp;IF(AND(P189="Fixed amount",O189&lt;&gt;"",N(Q189)&gt;N(O189)),"discount over price, ",""))-2)))</f>
        <v/>
      </c>
    </row>
    <row r="190" spans="1:29" x14ac:dyDescent="0.3">
      <c r="A190" s="16"/>
      <c r="B190" s="16"/>
      <c r="C190" s="16"/>
      <c r="D190" s="17"/>
      <c r="E190" s="17"/>
      <c r="F190" s="16"/>
      <c r="G190" s="16"/>
      <c r="H190" s="16"/>
      <c r="I190" s="16"/>
      <c r="J190" s="16"/>
      <c r="K190" s="16"/>
      <c r="L190" s="17"/>
      <c r="M190" s="17"/>
      <c r="N190" s="17"/>
      <c r="O190" s="18"/>
      <c r="P190" s="16"/>
      <c r="Q190" s="16"/>
      <c r="R190" s="19" t="str">
        <f t="shared" si="4"/>
        <v/>
      </c>
      <c r="S190" s="19" t="str">
        <f t="shared" si="5"/>
        <v/>
      </c>
      <c r="T190" s="17"/>
      <c r="U190" s="16"/>
      <c r="V190" s="16"/>
      <c r="W190" s="16"/>
      <c r="X190" s="16"/>
      <c r="Y190" s="16"/>
      <c r="Z190" s="16"/>
      <c r="AA190" s="16"/>
      <c r="AB190" s="20" t="str">
        <f>IF(A190="","",COUNTIF(Variants!$A$3:$A$1502,A190))</f>
        <v/>
      </c>
      <c r="AC190" s="21" t="str">
        <f>IF(A190="","",IF(IF(E190="","description, ","")&amp;IF(AND(O190="",COUNTIFS(Variants!$A$3:$A$1502,A190,Variants!$K$3:$K$1502,"&lt;&gt;")=0),"price, ","")&amp;IF(T190="","image, ","")&amp;IF(B190="","category, ","")&amp;IF(N(AB190)=0,"variant, ","")&amp;IF(AND(P190="Percentage",N(Q190)&gt;100),"discount over 100%, ","")&amp;IF(AND(P190="Fixed amount",O190&lt;&gt;"",N(Q190)&gt;N(O190)),"discount over price, ","")="","Ready","Missing: "&amp;LEFT(IF(E190="","description, ","")&amp;IF(AND(O190="",COUNTIFS(Variants!$A$3:$A$1502,A190,Variants!$K$3:$K$1502,"&lt;&gt;")=0),"price, ","")&amp;IF(T190="","image, ","")&amp;IF(B190="","category, ","")&amp;IF(N(AB190)=0,"variant, ","")&amp;IF(AND(P190="Percentage",N(Q190)&gt;100),"discount over 100%, ","")&amp;IF(AND(P190="Fixed amount",O190&lt;&gt;"",N(Q190)&gt;N(O190)),"discount over price, ",""),LEN(IF(E190="","description, ","")&amp;IF(AND(O190="",COUNTIFS(Variants!$A$3:$A$1502,A190,Variants!$K$3:$K$1502,"&lt;&gt;")=0),"price, ","")&amp;IF(T190="","image, ","")&amp;IF(B190="","category, ","")&amp;IF(N(AB190)=0,"variant, ","")&amp;IF(AND(P190="Percentage",N(Q190)&gt;100),"discount over 100%, ","")&amp;IF(AND(P190="Fixed amount",O190&lt;&gt;"",N(Q190)&gt;N(O190)),"discount over price, ",""))-2)))</f>
        <v/>
      </c>
    </row>
    <row r="191" spans="1:29" x14ac:dyDescent="0.3">
      <c r="A191" s="16"/>
      <c r="B191" s="16"/>
      <c r="C191" s="16"/>
      <c r="D191" s="17"/>
      <c r="E191" s="17"/>
      <c r="F191" s="16"/>
      <c r="G191" s="16"/>
      <c r="H191" s="16"/>
      <c r="I191" s="16"/>
      <c r="J191" s="16"/>
      <c r="K191" s="16"/>
      <c r="L191" s="17"/>
      <c r="M191" s="17"/>
      <c r="N191" s="17"/>
      <c r="O191" s="18"/>
      <c r="P191" s="16"/>
      <c r="Q191" s="16"/>
      <c r="R191" s="19" t="str">
        <f t="shared" si="4"/>
        <v/>
      </c>
      <c r="S191" s="19" t="str">
        <f t="shared" si="5"/>
        <v/>
      </c>
      <c r="T191" s="17"/>
      <c r="U191" s="16"/>
      <c r="V191" s="16"/>
      <c r="W191" s="16"/>
      <c r="X191" s="16"/>
      <c r="Y191" s="16"/>
      <c r="Z191" s="16"/>
      <c r="AA191" s="16"/>
      <c r="AB191" s="20" t="str">
        <f>IF(A191="","",COUNTIF(Variants!$A$3:$A$1502,A191))</f>
        <v/>
      </c>
      <c r="AC191" s="21" t="str">
        <f>IF(A191="","",IF(IF(E191="","description, ","")&amp;IF(AND(O191="",COUNTIFS(Variants!$A$3:$A$1502,A191,Variants!$K$3:$K$1502,"&lt;&gt;")=0),"price, ","")&amp;IF(T191="","image, ","")&amp;IF(B191="","category, ","")&amp;IF(N(AB191)=0,"variant, ","")&amp;IF(AND(P191="Percentage",N(Q191)&gt;100),"discount over 100%, ","")&amp;IF(AND(P191="Fixed amount",O191&lt;&gt;"",N(Q191)&gt;N(O191)),"discount over price, ","")="","Ready","Missing: "&amp;LEFT(IF(E191="","description, ","")&amp;IF(AND(O191="",COUNTIFS(Variants!$A$3:$A$1502,A191,Variants!$K$3:$K$1502,"&lt;&gt;")=0),"price, ","")&amp;IF(T191="","image, ","")&amp;IF(B191="","category, ","")&amp;IF(N(AB191)=0,"variant, ","")&amp;IF(AND(P191="Percentage",N(Q191)&gt;100),"discount over 100%, ","")&amp;IF(AND(P191="Fixed amount",O191&lt;&gt;"",N(Q191)&gt;N(O191)),"discount over price, ",""),LEN(IF(E191="","description, ","")&amp;IF(AND(O191="",COUNTIFS(Variants!$A$3:$A$1502,A191,Variants!$K$3:$K$1502,"&lt;&gt;")=0),"price, ","")&amp;IF(T191="","image, ","")&amp;IF(B191="","category, ","")&amp;IF(N(AB191)=0,"variant, ","")&amp;IF(AND(P191="Percentage",N(Q191)&gt;100),"discount over 100%, ","")&amp;IF(AND(P191="Fixed amount",O191&lt;&gt;"",N(Q191)&gt;N(O191)),"discount over price, ",""))-2)))</f>
        <v/>
      </c>
    </row>
    <row r="192" spans="1:29" x14ac:dyDescent="0.3">
      <c r="A192" s="16"/>
      <c r="B192" s="16"/>
      <c r="C192" s="16"/>
      <c r="D192" s="17"/>
      <c r="E192" s="17"/>
      <c r="F192" s="16"/>
      <c r="G192" s="16"/>
      <c r="H192" s="16"/>
      <c r="I192" s="16"/>
      <c r="J192" s="16"/>
      <c r="K192" s="16"/>
      <c r="L192" s="17"/>
      <c r="M192" s="17"/>
      <c r="N192" s="17"/>
      <c r="O192" s="18"/>
      <c r="P192" s="16"/>
      <c r="Q192" s="16"/>
      <c r="R192" s="19" t="str">
        <f t="shared" si="4"/>
        <v/>
      </c>
      <c r="S192" s="19" t="str">
        <f t="shared" si="5"/>
        <v/>
      </c>
      <c r="T192" s="17"/>
      <c r="U192" s="16"/>
      <c r="V192" s="16"/>
      <c r="W192" s="16"/>
      <c r="X192" s="16"/>
      <c r="Y192" s="16"/>
      <c r="Z192" s="16"/>
      <c r="AA192" s="16"/>
      <c r="AB192" s="20" t="str">
        <f>IF(A192="","",COUNTIF(Variants!$A$3:$A$1502,A192))</f>
        <v/>
      </c>
      <c r="AC192" s="21" t="str">
        <f>IF(A192="","",IF(IF(E192="","description, ","")&amp;IF(AND(O192="",COUNTIFS(Variants!$A$3:$A$1502,A192,Variants!$K$3:$K$1502,"&lt;&gt;")=0),"price, ","")&amp;IF(T192="","image, ","")&amp;IF(B192="","category, ","")&amp;IF(N(AB192)=0,"variant, ","")&amp;IF(AND(P192="Percentage",N(Q192)&gt;100),"discount over 100%, ","")&amp;IF(AND(P192="Fixed amount",O192&lt;&gt;"",N(Q192)&gt;N(O192)),"discount over price, ","")="","Ready","Missing: "&amp;LEFT(IF(E192="","description, ","")&amp;IF(AND(O192="",COUNTIFS(Variants!$A$3:$A$1502,A192,Variants!$K$3:$K$1502,"&lt;&gt;")=0),"price, ","")&amp;IF(T192="","image, ","")&amp;IF(B192="","category, ","")&amp;IF(N(AB192)=0,"variant, ","")&amp;IF(AND(P192="Percentage",N(Q192)&gt;100),"discount over 100%, ","")&amp;IF(AND(P192="Fixed amount",O192&lt;&gt;"",N(Q192)&gt;N(O192)),"discount over price, ",""),LEN(IF(E192="","description, ","")&amp;IF(AND(O192="",COUNTIFS(Variants!$A$3:$A$1502,A192,Variants!$K$3:$K$1502,"&lt;&gt;")=0),"price, ","")&amp;IF(T192="","image, ","")&amp;IF(B192="","category, ","")&amp;IF(N(AB192)=0,"variant, ","")&amp;IF(AND(P192="Percentage",N(Q192)&gt;100),"discount over 100%, ","")&amp;IF(AND(P192="Fixed amount",O192&lt;&gt;"",N(Q192)&gt;N(O192)),"discount over price, ",""))-2)))</f>
        <v/>
      </c>
    </row>
    <row r="193" spans="1:29" x14ac:dyDescent="0.3">
      <c r="A193" s="16"/>
      <c r="B193" s="16"/>
      <c r="C193" s="16"/>
      <c r="D193" s="17"/>
      <c r="E193" s="17"/>
      <c r="F193" s="16"/>
      <c r="G193" s="16"/>
      <c r="H193" s="16"/>
      <c r="I193" s="16"/>
      <c r="J193" s="16"/>
      <c r="K193" s="16"/>
      <c r="L193" s="17"/>
      <c r="M193" s="17"/>
      <c r="N193" s="17"/>
      <c r="O193" s="18"/>
      <c r="P193" s="16"/>
      <c r="Q193" s="16"/>
      <c r="R193" s="19" t="str">
        <f t="shared" si="4"/>
        <v/>
      </c>
      <c r="S193" s="19" t="str">
        <f t="shared" si="5"/>
        <v/>
      </c>
      <c r="T193" s="17"/>
      <c r="U193" s="16"/>
      <c r="V193" s="16"/>
      <c r="W193" s="16"/>
      <c r="X193" s="16"/>
      <c r="Y193" s="16"/>
      <c r="Z193" s="16"/>
      <c r="AA193" s="16"/>
      <c r="AB193" s="20" t="str">
        <f>IF(A193="","",COUNTIF(Variants!$A$3:$A$1502,A193))</f>
        <v/>
      </c>
      <c r="AC193" s="21" t="str">
        <f>IF(A193="","",IF(IF(E193="","description, ","")&amp;IF(AND(O193="",COUNTIFS(Variants!$A$3:$A$1502,A193,Variants!$K$3:$K$1502,"&lt;&gt;")=0),"price, ","")&amp;IF(T193="","image, ","")&amp;IF(B193="","category, ","")&amp;IF(N(AB193)=0,"variant, ","")&amp;IF(AND(P193="Percentage",N(Q193)&gt;100),"discount over 100%, ","")&amp;IF(AND(P193="Fixed amount",O193&lt;&gt;"",N(Q193)&gt;N(O193)),"discount over price, ","")="","Ready","Missing: "&amp;LEFT(IF(E193="","description, ","")&amp;IF(AND(O193="",COUNTIFS(Variants!$A$3:$A$1502,A193,Variants!$K$3:$K$1502,"&lt;&gt;")=0),"price, ","")&amp;IF(T193="","image, ","")&amp;IF(B193="","category, ","")&amp;IF(N(AB193)=0,"variant, ","")&amp;IF(AND(P193="Percentage",N(Q193)&gt;100),"discount over 100%, ","")&amp;IF(AND(P193="Fixed amount",O193&lt;&gt;"",N(Q193)&gt;N(O193)),"discount over price, ",""),LEN(IF(E193="","description, ","")&amp;IF(AND(O193="",COUNTIFS(Variants!$A$3:$A$1502,A193,Variants!$K$3:$K$1502,"&lt;&gt;")=0),"price, ","")&amp;IF(T193="","image, ","")&amp;IF(B193="","category, ","")&amp;IF(N(AB193)=0,"variant, ","")&amp;IF(AND(P193="Percentage",N(Q193)&gt;100),"discount over 100%, ","")&amp;IF(AND(P193="Fixed amount",O193&lt;&gt;"",N(Q193)&gt;N(O193)),"discount over price, ",""))-2)))</f>
        <v/>
      </c>
    </row>
    <row r="194" spans="1:29" x14ac:dyDescent="0.3">
      <c r="A194" s="16"/>
      <c r="B194" s="16"/>
      <c r="C194" s="16"/>
      <c r="D194" s="17"/>
      <c r="E194" s="17"/>
      <c r="F194" s="16"/>
      <c r="G194" s="16"/>
      <c r="H194" s="16"/>
      <c r="I194" s="16"/>
      <c r="J194" s="16"/>
      <c r="K194" s="16"/>
      <c r="L194" s="17"/>
      <c r="M194" s="17"/>
      <c r="N194" s="17"/>
      <c r="O194" s="18"/>
      <c r="P194" s="16"/>
      <c r="Q194" s="16"/>
      <c r="R194" s="19" t="str">
        <f t="shared" si="4"/>
        <v/>
      </c>
      <c r="S194" s="19" t="str">
        <f t="shared" si="5"/>
        <v/>
      </c>
      <c r="T194" s="17"/>
      <c r="U194" s="16"/>
      <c r="V194" s="16"/>
      <c r="W194" s="16"/>
      <c r="X194" s="16"/>
      <c r="Y194" s="16"/>
      <c r="Z194" s="16"/>
      <c r="AA194" s="16"/>
      <c r="AB194" s="20" t="str">
        <f>IF(A194="","",COUNTIF(Variants!$A$3:$A$1502,A194))</f>
        <v/>
      </c>
      <c r="AC194" s="21" t="str">
        <f>IF(A194="","",IF(IF(E194="","description, ","")&amp;IF(AND(O194="",COUNTIFS(Variants!$A$3:$A$1502,A194,Variants!$K$3:$K$1502,"&lt;&gt;")=0),"price, ","")&amp;IF(T194="","image, ","")&amp;IF(B194="","category, ","")&amp;IF(N(AB194)=0,"variant, ","")&amp;IF(AND(P194="Percentage",N(Q194)&gt;100),"discount over 100%, ","")&amp;IF(AND(P194="Fixed amount",O194&lt;&gt;"",N(Q194)&gt;N(O194)),"discount over price, ","")="","Ready","Missing: "&amp;LEFT(IF(E194="","description, ","")&amp;IF(AND(O194="",COUNTIFS(Variants!$A$3:$A$1502,A194,Variants!$K$3:$K$1502,"&lt;&gt;")=0),"price, ","")&amp;IF(T194="","image, ","")&amp;IF(B194="","category, ","")&amp;IF(N(AB194)=0,"variant, ","")&amp;IF(AND(P194="Percentage",N(Q194)&gt;100),"discount over 100%, ","")&amp;IF(AND(P194="Fixed amount",O194&lt;&gt;"",N(Q194)&gt;N(O194)),"discount over price, ",""),LEN(IF(E194="","description, ","")&amp;IF(AND(O194="",COUNTIFS(Variants!$A$3:$A$1502,A194,Variants!$K$3:$K$1502,"&lt;&gt;")=0),"price, ","")&amp;IF(T194="","image, ","")&amp;IF(B194="","category, ","")&amp;IF(N(AB194)=0,"variant, ","")&amp;IF(AND(P194="Percentage",N(Q194)&gt;100),"discount over 100%, ","")&amp;IF(AND(P194="Fixed amount",O194&lt;&gt;"",N(Q194)&gt;N(O194)),"discount over price, ",""))-2)))</f>
        <v/>
      </c>
    </row>
    <row r="195" spans="1:29" x14ac:dyDescent="0.3">
      <c r="A195" s="16"/>
      <c r="B195" s="16"/>
      <c r="C195" s="16"/>
      <c r="D195" s="17"/>
      <c r="E195" s="17"/>
      <c r="F195" s="16"/>
      <c r="G195" s="16"/>
      <c r="H195" s="16"/>
      <c r="I195" s="16"/>
      <c r="J195" s="16"/>
      <c r="K195" s="16"/>
      <c r="L195" s="17"/>
      <c r="M195" s="17"/>
      <c r="N195" s="17"/>
      <c r="O195" s="18"/>
      <c r="P195" s="16"/>
      <c r="Q195" s="16"/>
      <c r="R195" s="19" t="str">
        <f t="shared" ref="R195:R258" si="6">IF(O195="","",IF(P195="Percentage",ROUND(O195*N(Q195)/100,2),IF(P195="Fixed amount",N(Q195),0)))</f>
        <v/>
      </c>
      <c r="S195" s="19" t="str">
        <f t="shared" ref="S195:S258" si="7">IF(O195="","",O195-R195)</f>
        <v/>
      </c>
      <c r="T195" s="17"/>
      <c r="U195" s="16"/>
      <c r="V195" s="16"/>
      <c r="W195" s="16"/>
      <c r="X195" s="16"/>
      <c r="Y195" s="16"/>
      <c r="Z195" s="16"/>
      <c r="AA195" s="16"/>
      <c r="AB195" s="20" t="str">
        <f>IF(A195="","",COUNTIF(Variants!$A$3:$A$1502,A195))</f>
        <v/>
      </c>
      <c r="AC195" s="21" t="str">
        <f>IF(A195="","",IF(IF(E195="","description, ","")&amp;IF(AND(O195="",COUNTIFS(Variants!$A$3:$A$1502,A195,Variants!$K$3:$K$1502,"&lt;&gt;")=0),"price, ","")&amp;IF(T195="","image, ","")&amp;IF(B195="","category, ","")&amp;IF(N(AB195)=0,"variant, ","")&amp;IF(AND(P195="Percentage",N(Q195)&gt;100),"discount over 100%, ","")&amp;IF(AND(P195="Fixed amount",O195&lt;&gt;"",N(Q195)&gt;N(O195)),"discount over price, ","")="","Ready","Missing: "&amp;LEFT(IF(E195="","description, ","")&amp;IF(AND(O195="",COUNTIFS(Variants!$A$3:$A$1502,A195,Variants!$K$3:$K$1502,"&lt;&gt;")=0),"price, ","")&amp;IF(T195="","image, ","")&amp;IF(B195="","category, ","")&amp;IF(N(AB195)=0,"variant, ","")&amp;IF(AND(P195="Percentage",N(Q195)&gt;100),"discount over 100%, ","")&amp;IF(AND(P195="Fixed amount",O195&lt;&gt;"",N(Q195)&gt;N(O195)),"discount over price, ",""),LEN(IF(E195="","description, ","")&amp;IF(AND(O195="",COUNTIFS(Variants!$A$3:$A$1502,A195,Variants!$K$3:$K$1502,"&lt;&gt;")=0),"price, ","")&amp;IF(T195="","image, ","")&amp;IF(B195="","category, ","")&amp;IF(N(AB195)=0,"variant, ","")&amp;IF(AND(P195="Percentage",N(Q195)&gt;100),"discount over 100%, ","")&amp;IF(AND(P195="Fixed amount",O195&lt;&gt;"",N(Q195)&gt;N(O195)),"discount over price, ",""))-2)))</f>
        <v/>
      </c>
    </row>
    <row r="196" spans="1:29" x14ac:dyDescent="0.3">
      <c r="A196" s="16"/>
      <c r="B196" s="16"/>
      <c r="C196" s="16"/>
      <c r="D196" s="17"/>
      <c r="E196" s="17"/>
      <c r="F196" s="16"/>
      <c r="G196" s="16"/>
      <c r="H196" s="16"/>
      <c r="I196" s="16"/>
      <c r="J196" s="16"/>
      <c r="K196" s="16"/>
      <c r="L196" s="17"/>
      <c r="M196" s="17"/>
      <c r="N196" s="17"/>
      <c r="O196" s="18"/>
      <c r="P196" s="16"/>
      <c r="Q196" s="16"/>
      <c r="R196" s="19" t="str">
        <f t="shared" si="6"/>
        <v/>
      </c>
      <c r="S196" s="19" t="str">
        <f t="shared" si="7"/>
        <v/>
      </c>
      <c r="T196" s="17"/>
      <c r="U196" s="16"/>
      <c r="V196" s="16"/>
      <c r="W196" s="16"/>
      <c r="X196" s="16"/>
      <c r="Y196" s="16"/>
      <c r="Z196" s="16"/>
      <c r="AA196" s="16"/>
      <c r="AB196" s="20" t="str">
        <f>IF(A196="","",COUNTIF(Variants!$A$3:$A$1502,A196))</f>
        <v/>
      </c>
      <c r="AC196" s="21" t="str">
        <f>IF(A196="","",IF(IF(E196="","description, ","")&amp;IF(AND(O196="",COUNTIFS(Variants!$A$3:$A$1502,A196,Variants!$K$3:$K$1502,"&lt;&gt;")=0),"price, ","")&amp;IF(T196="","image, ","")&amp;IF(B196="","category, ","")&amp;IF(N(AB196)=0,"variant, ","")&amp;IF(AND(P196="Percentage",N(Q196)&gt;100),"discount over 100%, ","")&amp;IF(AND(P196="Fixed amount",O196&lt;&gt;"",N(Q196)&gt;N(O196)),"discount over price, ","")="","Ready","Missing: "&amp;LEFT(IF(E196="","description, ","")&amp;IF(AND(O196="",COUNTIFS(Variants!$A$3:$A$1502,A196,Variants!$K$3:$K$1502,"&lt;&gt;")=0),"price, ","")&amp;IF(T196="","image, ","")&amp;IF(B196="","category, ","")&amp;IF(N(AB196)=0,"variant, ","")&amp;IF(AND(P196="Percentage",N(Q196)&gt;100),"discount over 100%, ","")&amp;IF(AND(P196="Fixed amount",O196&lt;&gt;"",N(Q196)&gt;N(O196)),"discount over price, ",""),LEN(IF(E196="","description, ","")&amp;IF(AND(O196="",COUNTIFS(Variants!$A$3:$A$1502,A196,Variants!$K$3:$K$1502,"&lt;&gt;")=0),"price, ","")&amp;IF(T196="","image, ","")&amp;IF(B196="","category, ","")&amp;IF(N(AB196)=0,"variant, ","")&amp;IF(AND(P196="Percentage",N(Q196)&gt;100),"discount over 100%, ","")&amp;IF(AND(P196="Fixed amount",O196&lt;&gt;"",N(Q196)&gt;N(O196)),"discount over price, ",""))-2)))</f>
        <v/>
      </c>
    </row>
    <row r="197" spans="1:29" x14ac:dyDescent="0.3">
      <c r="A197" s="16"/>
      <c r="B197" s="16"/>
      <c r="C197" s="16"/>
      <c r="D197" s="17"/>
      <c r="E197" s="17"/>
      <c r="F197" s="16"/>
      <c r="G197" s="16"/>
      <c r="H197" s="16"/>
      <c r="I197" s="16"/>
      <c r="J197" s="16"/>
      <c r="K197" s="16"/>
      <c r="L197" s="17"/>
      <c r="M197" s="17"/>
      <c r="N197" s="17"/>
      <c r="O197" s="18"/>
      <c r="P197" s="16"/>
      <c r="Q197" s="16"/>
      <c r="R197" s="19" t="str">
        <f t="shared" si="6"/>
        <v/>
      </c>
      <c r="S197" s="19" t="str">
        <f t="shared" si="7"/>
        <v/>
      </c>
      <c r="T197" s="17"/>
      <c r="U197" s="16"/>
      <c r="V197" s="16"/>
      <c r="W197" s="16"/>
      <c r="X197" s="16"/>
      <c r="Y197" s="16"/>
      <c r="Z197" s="16"/>
      <c r="AA197" s="16"/>
      <c r="AB197" s="20" t="str">
        <f>IF(A197="","",COUNTIF(Variants!$A$3:$A$1502,A197))</f>
        <v/>
      </c>
      <c r="AC197" s="21" t="str">
        <f>IF(A197="","",IF(IF(E197="","description, ","")&amp;IF(AND(O197="",COUNTIFS(Variants!$A$3:$A$1502,A197,Variants!$K$3:$K$1502,"&lt;&gt;")=0),"price, ","")&amp;IF(T197="","image, ","")&amp;IF(B197="","category, ","")&amp;IF(N(AB197)=0,"variant, ","")&amp;IF(AND(P197="Percentage",N(Q197)&gt;100),"discount over 100%, ","")&amp;IF(AND(P197="Fixed amount",O197&lt;&gt;"",N(Q197)&gt;N(O197)),"discount over price, ","")="","Ready","Missing: "&amp;LEFT(IF(E197="","description, ","")&amp;IF(AND(O197="",COUNTIFS(Variants!$A$3:$A$1502,A197,Variants!$K$3:$K$1502,"&lt;&gt;")=0),"price, ","")&amp;IF(T197="","image, ","")&amp;IF(B197="","category, ","")&amp;IF(N(AB197)=0,"variant, ","")&amp;IF(AND(P197="Percentage",N(Q197)&gt;100),"discount over 100%, ","")&amp;IF(AND(P197="Fixed amount",O197&lt;&gt;"",N(Q197)&gt;N(O197)),"discount over price, ",""),LEN(IF(E197="","description, ","")&amp;IF(AND(O197="",COUNTIFS(Variants!$A$3:$A$1502,A197,Variants!$K$3:$K$1502,"&lt;&gt;")=0),"price, ","")&amp;IF(T197="","image, ","")&amp;IF(B197="","category, ","")&amp;IF(N(AB197)=0,"variant, ","")&amp;IF(AND(P197="Percentage",N(Q197)&gt;100),"discount over 100%, ","")&amp;IF(AND(P197="Fixed amount",O197&lt;&gt;"",N(Q197)&gt;N(O197)),"discount over price, ",""))-2)))</f>
        <v/>
      </c>
    </row>
    <row r="198" spans="1:29" x14ac:dyDescent="0.3">
      <c r="A198" s="16"/>
      <c r="B198" s="16"/>
      <c r="C198" s="16"/>
      <c r="D198" s="17"/>
      <c r="E198" s="17"/>
      <c r="F198" s="16"/>
      <c r="G198" s="16"/>
      <c r="H198" s="16"/>
      <c r="I198" s="16"/>
      <c r="J198" s="16"/>
      <c r="K198" s="16"/>
      <c r="L198" s="17"/>
      <c r="M198" s="17"/>
      <c r="N198" s="17"/>
      <c r="O198" s="18"/>
      <c r="P198" s="16"/>
      <c r="Q198" s="16"/>
      <c r="R198" s="19" t="str">
        <f t="shared" si="6"/>
        <v/>
      </c>
      <c r="S198" s="19" t="str">
        <f t="shared" si="7"/>
        <v/>
      </c>
      <c r="T198" s="17"/>
      <c r="U198" s="16"/>
      <c r="V198" s="16"/>
      <c r="W198" s="16"/>
      <c r="X198" s="16"/>
      <c r="Y198" s="16"/>
      <c r="Z198" s="16"/>
      <c r="AA198" s="16"/>
      <c r="AB198" s="20" t="str">
        <f>IF(A198="","",COUNTIF(Variants!$A$3:$A$1502,A198))</f>
        <v/>
      </c>
      <c r="AC198" s="21" t="str">
        <f>IF(A198="","",IF(IF(E198="","description, ","")&amp;IF(AND(O198="",COUNTIFS(Variants!$A$3:$A$1502,A198,Variants!$K$3:$K$1502,"&lt;&gt;")=0),"price, ","")&amp;IF(T198="","image, ","")&amp;IF(B198="","category, ","")&amp;IF(N(AB198)=0,"variant, ","")&amp;IF(AND(P198="Percentage",N(Q198)&gt;100),"discount over 100%, ","")&amp;IF(AND(P198="Fixed amount",O198&lt;&gt;"",N(Q198)&gt;N(O198)),"discount over price, ","")="","Ready","Missing: "&amp;LEFT(IF(E198="","description, ","")&amp;IF(AND(O198="",COUNTIFS(Variants!$A$3:$A$1502,A198,Variants!$K$3:$K$1502,"&lt;&gt;")=0),"price, ","")&amp;IF(T198="","image, ","")&amp;IF(B198="","category, ","")&amp;IF(N(AB198)=0,"variant, ","")&amp;IF(AND(P198="Percentage",N(Q198)&gt;100),"discount over 100%, ","")&amp;IF(AND(P198="Fixed amount",O198&lt;&gt;"",N(Q198)&gt;N(O198)),"discount over price, ",""),LEN(IF(E198="","description, ","")&amp;IF(AND(O198="",COUNTIFS(Variants!$A$3:$A$1502,A198,Variants!$K$3:$K$1502,"&lt;&gt;")=0),"price, ","")&amp;IF(T198="","image, ","")&amp;IF(B198="","category, ","")&amp;IF(N(AB198)=0,"variant, ","")&amp;IF(AND(P198="Percentage",N(Q198)&gt;100),"discount over 100%, ","")&amp;IF(AND(P198="Fixed amount",O198&lt;&gt;"",N(Q198)&gt;N(O198)),"discount over price, ",""))-2)))</f>
        <v/>
      </c>
    </row>
    <row r="199" spans="1:29" x14ac:dyDescent="0.3">
      <c r="A199" s="16"/>
      <c r="B199" s="16"/>
      <c r="C199" s="16"/>
      <c r="D199" s="17"/>
      <c r="E199" s="17"/>
      <c r="F199" s="16"/>
      <c r="G199" s="16"/>
      <c r="H199" s="16"/>
      <c r="I199" s="16"/>
      <c r="J199" s="16"/>
      <c r="K199" s="16"/>
      <c r="L199" s="17"/>
      <c r="M199" s="17"/>
      <c r="N199" s="17"/>
      <c r="O199" s="18"/>
      <c r="P199" s="16"/>
      <c r="Q199" s="16"/>
      <c r="R199" s="19" t="str">
        <f t="shared" si="6"/>
        <v/>
      </c>
      <c r="S199" s="19" t="str">
        <f t="shared" si="7"/>
        <v/>
      </c>
      <c r="T199" s="17"/>
      <c r="U199" s="16"/>
      <c r="V199" s="16"/>
      <c r="W199" s="16"/>
      <c r="X199" s="16"/>
      <c r="Y199" s="16"/>
      <c r="Z199" s="16"/>
      <c r="AA199" s="16"/>
      <c r="AB199" s="20" t="str">
        <f>IF(A199="","",COUNTIF(Variants!$A$3:$A$1502,A199))</f>
        <v/>
      </c>
      <c r="AC199" s="21" t="str">
        <f>IF(A199="","",IF(IF(E199="","description, ","")&amp;IF(AND(O199="",COUNTIFS(Variants!$A$3:$A$1502,A199,Variants!$K$3:$K$1502,"&lt;&gt;")=0),"price, ","")&amp;IF(T199="","image, ","")&amp;IF(B199="","category, ","")&amp;IF(N(AB199)=0,"variant, ","")&amp;IF(AND(P199="Percentage",N(Q199)&gt;100),"discount over 100%, ","")&amp;IF(AND(P199="Fixed amount",O199&lt;&gt;"",N(Q199)&gt;N(O199)),"discount over price, ","")="","Ready","Missing: "&amp;LEFT(IF(E199="","description, ","")&amp;IF(AND(O199="",COUNTIFS(Variants!$A$3:$A$1502,A199,Variants!$K$3:$K$1502,"&lt;&gt;")=0),"price, ","")&amp;IF(T199="","image, ","")&amp;IF(B199="","category, ","")&amp;IF(N(AB199)=0,"variant, ","")&amp;IF(AND(P199="Percentage",N(Q199)&gt;100),"discount over 100%, ","")&amp;IF(AND(P199="Fixed amount",O199&lt;&gt;"",N(Q199)&gt;N(O199)),"discount over price, ",""),LEN(IF(E199="","description, ","")&amp;IF(AND(O199="",COUNTIFS(Variants!$A$3:$A$1502,A199,Variants!$K$3:$K$1502,"&lt;&gt;")=0),"price, ","")&amp;IF(T199="","image, ","")&amp;IF(B199="","category, ","")&amp;IF(N(AB199)=0,"variant, ","")&amp;IF(AND(P199="Percentage",N(Q199)&gt;100),"discount over 100%, ","")&amp;IF(AND(P199="Fixed amount",O199&lt;&gt;"",N(Q199)&gt;N(O199)),"discount over price, ",""))-2)))</f>
        <v/>
      </c>
    </row>
    <row r="200" spans="1:29" x14ac:dyDescent="0.3">
      <c r="A200" s="16"/>
      <c r="B200" s="16"/>
      <c r="C200" s="16"/>
      <c r="D200" s="17"/>
      <c r="E200" s="17"/>
      <c r="F200" s="16"/>
      <c r="G200" s="16"/>
      <c r="H200" s="16"/>
      <c r="I200" s="16"/>
      <c r="J200" s="16"/>
      <c r="K200" s="16"/>
      <c r="L200" s="17"/>
      <c r="M200" s="17"/>
      <c r="N200" s="17"/>
      <c r="O200" s="18"/>
      <c r="P200" s="16"/>
      <c r="Q200" s="16"/>
      <c r="R200" s="19" t="str">
        <f t="shared" si="6"/>
        <v/>
      </c>
      <c r="S200" s="19" t="str">
        <f t="shared" si="7"/>
        <v/>
      </c>
      <c r="T200" s="17"/>
      <c r="U200" s="16"/>
      <c r="V200" s="16"/>
      <c r="W200" s="16"/>
      <c r="X200" s="16"/>
      <c r="Y200" s="16"/>
      <c r="Z200" s="16"/>
      <c r="AA200" s="16"/>
      <c r="AB200" s="20" t="str">
        <f>IF(A200="","",COUNTIF(Variants!$A$3:$A$1502,A200))</f>
        <v/>
      </c>
      <c r="AC200" s="21" t="str">
        <f>IF(A200="","",IF(IF(E200="","description, ","")&amp;IF(AND(O200="",COUNTIFS(Variants!$A$3:$A$1502,A200,Variants!$K$3:$K$1502,"&lt;&gt;")=0),"price, ","")&amp;IF(T200="","image, ","")&amp;IF(B200="","category, ","")&amp;IF(N(AB200)=0,"variant, ","")&amp;IF(AND(P200="Percentage",N(Q200)&gt;100),"discount over 100%, ","")&amp;IF(AND(P200="Fixed amount",O200&lt;&gt;"",N(Q200)&gt;N(O200)),"discount over price, ","")="","Ready","Missing: "&amp;LEFT(IF(E200="","description, ","")&amp;IF(AND(O200="",COUNTIFS(Variants!$A$3:$A$1502,A200,Variants!$K$3:$K$1502,"&lt;&gt;")=0),"price, ","")&amp;IF(T200="","image, ","")&amp;IF(B200="","category, ","")&amp;IF(N(AB200)=0,"variant, ","")&amp;IF(AND(P200="Percentage",N(Q200)&gt;100),"discount over 100%, ","")&amp;IF(AND(P200="Fixed amount",O200&lt;&gt;"",N(Q200)&gt;N(O200)),"discount over price, ",""),LEN(IF(E200="","description, ","")&amp;IF(AND(O200="",COUNTIFS(Variants!$A$3:$A$1502,A200,Variants!$K$3:$K$1502,"&lt;&gt;")=0),"price, ","")&amp;IF(T200="","image, ","")&amp;IF(B200="","category, ","")&amp;IF(N(AB200)=0,"variant, ","")&amp;IF(AND(P200="Percentage",N(Q200)&gt;100),"discount over 100%, ","")&amp;IF(AND(P200="Fixed amount",O200&lt;&gt;"",N(Q200)&gt;N(O200)),"discount over price, ",""))-2)))</f>
        <v/>
      </c>
    </row>
    <row r="201" spans="1:29" x14ac:dyDescent="0.3">
      <c r="A201" s="16"/>
      <c r="B201" s="16"/>
      <c r="C201" s="16"/>
      <c r="D201" s="17"/>
      <c r="E201" s="17"/>
      <c r="F201" s="16"/>
      <c r="G201" s="16"/>
      <c r="H201" s="16"/>
      <c r="I201" s="16"/>
      <c r="J201" s="16"/>
      <c r="K201" s="16"/>
      <c r="L201" s="17"/>
      <c r="M201" s="17"/>
      <c r="N201" s="17"/>
      <c r="O201" s="18"/>
      <c r="P201" s="16"/>
      <c r="Q201" s="16"/>
      <c r="R201" s="19" t="str">
        <f t="shared" si="6"/>
        <v/>
      </c>
      <c r="S201" s="19" t="str">
        <f t="shared" si="7"/>
        <v/>
      </c>
      <c r="T201" s="17"/>
      <c r="U201" s="16"/>
      <c r="V201" s="16"/>
      <c r="W201" s="16"/>
      <c r="X201" s="16"/>
      <c r="Y201" s="16"/>
      <c r="Z201" s="16"/>
      <c r="AA201" s="16"/>
      <c r="AB201" s="20" t="str">
        <f>IF(A201="","",COUNTIF(Variants!$A$3:$A$1502,A201))</f>
        <v/>
      </c>
      <c r="AC201" s="21" t="str">
        <f>IF(A201="","",IF(IF(E201="","description, ","")&amp;IF(AND(O201="",COUNTIFS(Variants!$A$3:$A$1502,A201,Variants!$K$3:$K$1502,"&lt;&gt;")=0),"price, ","")&amp;IF(T201="","image, ","")&amp;IF(B201="","category, ","")&amp;IF(N(AB201)=0,"variant, ","")&amp;IF(AND(P201="Percentage",N(Q201)&gt;100),"discount over 100%, ","")&amp;IF(AND(P201="Fixed amount",O201&lt;&gt;"",N(Q201)&gt;N(O201)),"discount over price, ","")="","Ready","Missing: "&amp;LEFT(IF(E201="","description, ","")&amp;IF(AND(O201="",COUNTIFS(Variants!$A$3:$A$1502,A201,Variants!$K$3:$K$1502,"&lt;&gt;")=0),"price, ","")&amp;IF(T201="","image, ","")&amp;IF(B201="","category, ","")&amp;IF(N(AB201)=0,"variant, ","")&amp;IF(AND(P201="Percentage",N(Q201)&gt;100),"discount over 100%, ","")&amp;IF(AND(P201="Fixed amount",O201&lt;&gt;"",N(Q201)&gt;N(O201)),"discount over price, ",""),LEN(IF(E201="","description, ","")&amp;IF(AND(O201="",COUNTIFS(Variants!$A$3:$A$1502,A201,Variants!$K$3:$K$1502,"&lt;&gt;")=0),"price, ","")&amp;IF(T201="","image, ","")&amp;IF(B201="","category, ","")&amp;IF(N(AB201)=0,"variant, ","")&amp;IF(AND(P201="Percentage",N(Q201)&gt;100),"discount over 100%, ","")&amp;IF(AND(P201="Fixed amount",O201&lt;&gt;"",N(Q201)&gt;N(O201)),"discount over price, ",""))-2)))</f>
        <v/>
      </c>
    </row>
    <row r="202" spans="1:29" x14ac:dyDescent="0.3">
      <c r="A202" s="16"/>
      <c r="B202" s="16"/>
      <c r="C202" s="16"/>
      <c r="D202" s="17"/>
      <c r="E202" s="17"/>
      <c r="F202" s="16"/>
      <c r="G202" s="16"/>
      <c r="H202" s="16"/>
      <c r="I202" s="16"/>
      <c r="J202" s="16"/>
      <c r="K202" s="16"/>
      <c r="L202" s="17"/>
      <c r="M202" s="17"/>
      <c r="N202" s="17"/>
      <c r="O202" s="18"/>
      <c r="P202" s="16"/>
      <c r="Q202" s="16"/>
      <c r="R202" s="19" t="str">
        <f t="shared" si="6"/>
        <v/>
      </c>
      <c r="S202" s="19" t="str">
        <f t="shared" si="7"/>
        <v/>
      </c>
      <c r="T202" s="17"/>
      <c r="U202" s="16"/>
      <c r="V202" s="16"/>
      <c r="W202" s="16"/>
      <c r="X202" s="16"/>
      <c r="Y202" s="16"/>
      <c r="Z202" s="16"/>
      <c r="AA202" s="16"/>
      <c r="AB202" s="20" t="str">
        <f>IF(A202="","",COUNTIF(Variants!$A$3:$A$1502,A202))</f>
        <v/>
      </c>
      <c r="AC202" s="21" t="str">
        <f>IF(A202="","",IF(IF(E202="","description, ","")&amp;IF(AND(O202="",COUNTIFS(Variants!$A$3:$A$1502,A202,Variants!$K$3:$K$1502,"&lt;&gt;")=0),"price, ","")&amp;IF(T202="","image, ","")&amp;IF(B202="","category, ","")&amp;IF(N(AB202)=0,"variant, ","")&amp;IF(AND(P202="Percentage",N(Q202)&gt;100),"discount over 100%, ","")&amp;IF(AND(P202="Fixed amount",O202&lt;&gt;"",N(Q202)&gt;N(O202)),"discount over price, ","")="","Ready","Missing: "&amp;LEFT(IF(E202="","description, ","")&amp;IF(AND(O202="",COUNTIFS(Variants!$A$3:$A$1502,A202,Variants!$K$3:$K$1502,"&lt;&gt;")=0),"price, ","")&amp;IF(T202="","image, ","")&amp;IF(B202="","category, ","")&amp;IF(N(AB202)=0,"variant, ","")&amp;IF(AND(P202="Percentage",N(Q202)&gt;100),"discount over 100%, ","")&amp;IF(AND(P202="Fixed amount",O202&lt;&gt;"",N(Q202)&gt;N(O202)),"discount over price, ",""),LEN(IF(E202="","description, ","")&amp;IF(AND(O202="",COUNTIFS(Variants!$A$3:$A$1502,A202,Variants!$K$3:$K$1502,"&lt;&gt;")=0),"price, ","")&amp;IF(T202="","image, ","")&amp;IF(B202="","category, ","")&amp;IF(N(AB202)=0,"variant, ","")&amp;IF(AND(P202="Percentage",N(Q202)&gt;100),"discount over 100%, ","")&amp;IF(AND(P202="Fixed amount",O202&lt;&gt;"",N(Q202)&gt;N(O202)),"discount over price, ",""))-2)))</f>
        <v/>
      </c>
    </row>
    <row r="203" spans="1:29" x14ac:dyDescent="0.3">
      <c r="A203" s="16"/>
      <c r="B203" s="16"/>
      <c r="C203" s="16"/>
      <c r="D203" s="17"/>
      <c r="E203" s="17"/>
      <c r="F203" s="16"/>
      <c r="G203" s="16"/>
      <c r="H203" s="16"/>
      <c r="I203" s="16"/>
      <c r="J203" s="16"/>
      <c r="K203" s="16"/>
      <c r="L203" s="17"/>
      <c r="M203" s="17"/>
      <c r="N203" s="17"/>
      <c r="O203" s="18"/>
      <c r="P203" s="16"/>
      <c r="Q203" s="16"/>
      <c r="R203" s="19" t="str">
        <f t="shared" si="6"/>
        <v/>
      </c>
      <c r="S203" s="19" t="str">
        <f t="shared" si="7"/>
        <v/>
      </c>
      <c r="T203" s="17"/>
      <c r="U203" s="16"/>
      <c r="V203" s="16"/>
      <c r="W203" s="16"/>
      <c r="X203" s="16"/>
      <c r="Y203" s="16"/>
      <c r="Z203" s="16"/>
      <c r="AA203" s="16"/>
      <c r="AB203" s="20" t="str">
        <f>IF(A203="","",COUNTIF(Variants!$A$3:$A$1502,A203))</f>
        <v/>
      </c>
      <c r="AC203" s="21" t="str">
        <f>IF(A203="","",IF(IF(E203="","description, ","")&amp;IF(AND(O203="",COUNTIFS(Variants!$A$3:$A$1502,A203,Variants!$K$3:$K$1502,"&lt;&gt;")=0),"price, ","")&amp;IF(T203="","image, ","")&amp;IF(B203="","category, ","")&amp;IF(N(AB203)=0,"variant, ","")&amp;IF(AND(P203="Percentage",N(Q203)&gt;100),"discount over 100%, ","")&amp;IF(AND(P203="Fixed amount",O203&lt;&gt;"",N(Q203)&gt;N(O203)),"discount over price, ","")="","Ready","Missing: "&amp;LEFT(IF(E203="","description, ","")&amp;IF(AND(O203="",COUNTIFS(Variants!$A$3:$A$1502,A203,Variants!$K$3:$K$1502,"&lt;&gt;")=0),"price, ","")&amp;IF(T203="","image, ","")&amp;IF(B203="","category, ","")&amp;IF(N(AB203)=0,"variant, ","")&amp;IF(AND(P203="Percentage",N(Q203)&gt;100),"discount over 100%, ","")&amp;IF(AND(P203="Fixed amount",O203&lt;&gt;"",N(Q203)&gt;N(O203)),"discount over price, ",""),LEN(IF(E203="","description, ","")&amp;IF(AND(O203="",COUNTIFS(Variants!$A$3:$A$1502,A203,Variants!$K$3:$K$1502,"&lt;&gt;")=0),"price, ","")&amp;IF(T203="","image, ","")&amp;IF(B203="","category, ","")&amp;IF(N(AB203)=0,"variant, ","")&amp;IF(AND(P203="Percentage",N(Q203)&gt;100),"discount over 100%, ","")&amp;IF(AND(P203="Fixed amount",O203&lt;&gt;"",N(Q203)&gt;N(O203)),"discount over price, ",""))-2)))</f>
        <v/>
      </c>
    </row>
    <row r="204" spans="1:29" x14ac:dyDescent="0.3">
      <c r="A204" s="16"/>
      <c r="B204" s="16"/>
      <c r="C204" s="16"/>
      <c r="D204" s="17"/>
      <c r="E204" s="17"/>
      <c r="F204" s="16"/>
      <c r="G204" s="16"/>
      <c r="H204" s="16"/>
      <c r="I204" s="16"/>
      <c r="J204" s="16"/>
      <c r="K204" s="16"/>
      <c r="L204" s="17"/>
      <c r="M204" s="17"/>
      <c r="N204" s="17"/>
      <c r="O204" s="18"/>
      <c r="P204" s="16"/>
      <c r="Q204" s="16"/>
      <c r="R204" s="19" t="str">
        <f t="shared" si="6"/>
        <v/>
      </c>
      <c r="S204" s="19" t="str">
        <f t="shared" si="7"/>
        <v/>
      </c>
      <c r="T204" s="17"/>
      <c r="U204" s="16"/>
      <c r="V204" s="16"/>
      <c r="W204" s="16"/>
      <c r="X204" s="16"/>
      <c r="Y204" s="16"/>
      <c r="Z204" s="16"/>
      <c r="AA204" s="16"/>
      <c r="AB204" s="20" t="str">
        <f>IF(A204="","",COUNTIF(Variants!$A$3:$A$1502,A204))</f>
        <v/>
      </c>
      <c r="AC204" s="21" t="str">
        <f>IF(A204="","",IF(IF(E204="","description, ","")&amp;IF(AND(O204="",COUNTIFS(Variants!$A$3:$A$1502,A204,Variants!$K$3:$K$1502,"&lt;&gt;")=0),"price, ","")&amp;IF(T204="","image, ","")&amp;IF(B204="","category, ","")&amp;IF(N(AB204)=0,"variant, ","")&amp;IF(AND(P204="Percentage",N(Q204)&gt;100),"discount over 100%, ","")&amp;IF(AND(P204="Fixed amount",O204&lt;&gt;"",N(Q204)&gt;N(O204)),"discount over price, ","")="","Ready","Missing: "&amp;LEFT(IF(E204="","description, ","")&amp;IF(AND(O204="",COUNTIFS(Variants!$A$3:$A$1502,A204,Variants!$K$3:$K$1502,"&lt;&gt;")=0),"price, ","")&amp;IF(T204="","image, ","")&amp;IF(B204="","category, ","")&amp;IF(N(AB204)=0,"variant, ","")&amp;IF(AND(P204="Percentage",N(Q204)&gt;100),"discount over 100%, ","")&amp;IF(AND(P204="Fixed amount",O204&lt;&gt;"",N(Q204)&gt;N(O204)),"discount over price, ",""),LEN(IF(E204="","description, ","")&amp;IF(AND(O204="",COUNTIFS(Variants!$A$3:$A$1502,A204,Variants!$K$3:$K$1502,"&lt;&gt;")=0),"price, ","")&amp;IF(T204="","image, ","")&amp;IF(B204="","category, ","")&amp;IF(N(AB204)=0,"variant, ","")&amp;IF(AND(P204="Percentage",N(Q204)&gt;100),"discount over 100%, ","")&amp;IF(AND(P204="Fixed amount",O204&lt;&gt;"",N(Q204)&gt;N(O204)),"discount over price, ",""))-2)))</f>
        <v/>
      </c>
    </row>
    <row r="205" spans="1:29" x14ac:dyDescent="0.3">
      <c r="A205" s="16"/>
      <c r="B205" s="16"/>
      <c r="C205" s="16"/>
      <c r="D205" s="17"/>
      <c r="E205" s="17"/>
      <c r="F205" s="16"/>
      <c r="G205" s="16"/>
      <c r="H205" s="16"/>
      <c r="I205" s="16"/>
      <c r="J205" s="16"/>
      <c r="K205" s="16"/>
      <c r="L205" s="17"/>
      <c r="M205" s="17"/>
      <c r="N205" s="17"/>
      <c r="O205" s="18"/>
      <c r="P205" s="16"/>
      <c r="Q205" s="16"/>
      <c r="R205" s="19" t="str">
        <f t="shared" si="6"/>
        <v/>
      </c>
      <c r="S205" s="19" t="str">
        <f t="shared" si="7"/>
        <v/>
      </c>
      <c r="T205" s="17"/>
      <c r="U205" s="16"/>
      <c r="V205" s="16"/>
      <c r="W205" s="16"/>
      <c r="X205" s="16"/>
      <c r="Y205" s="16"/>
      <c r="Z205" s="16"/>
      <c r="AA205" s="16"/>
      <c r="AB205" s="20" t="str">
        <f>IF(A205="","",COUNTIF(Variants!$A$3:$A$1502,A205))</f>
        <v/>
      </c>
      <c r="AC205" s="21" t="str">
        <f>IF(A205="","",IF(IF(E205="","description, ","")&amp;IF(AND(O205="",COUNTIFS(Variants!$A$3:$A$1502,A205,Variants!$K$3:$K$1502,"&lt;&gt;")=0),"price, ","")&amp;IF(T205="","image, ","")&amp;IF(B205="","category, ","")&amp;IF(N(AB205)=0,"variant, ","")&amp;IF(AND(P205="Percentage",N(Q205)&gt;100),"discount over 100%, ","")&amp;IF(AND(P205="Fixed amount",O205&lt;&gt;"",N(Q205)&gt;N(O205)),"discount over price, ","")="","Ready","Missing: "&amp;LEFT(IF(E205="","description, ","")&amp;IF(AND(O205="",COUNTIFS(Variants!$A$3:$A$1502,A205,Variants!$K$3:$K$1502,"&lt;&gt;")=0),"price, ","")&amp;IF(T205="","image, ","")&amp;IF(B205="","category, ","")&amp;IF(N(AB205)=0,"variant, ","")&amp;IF(AND(P205="Percentage",N(Q205)&gt;100),"discount over 100%, ","")&amp;IF(AND(P205="Fixed amount",O205&lt;&gt;"",N(Q205)&gt;N(O205)),"discount over price, ",""),LEN(IF(E205="","description, ","")&amp;IF(AND(O205="",COUNTIFS(Variants!$A$3:$A$1502,A205,Variants!$K$3:$K$1502,"&lt;&gt;")=0),"price, ","")&amp;IF(T205="","image, ","")&amp;IF(B205="","category, ","")&amp;IF(N(AB205)=0,"variant, ","")&amp;IF(AND(P205="Percentage",N(Q205)&gt;100),"discount over 100%, ","")&amp;IF(AND(P205="Fixed amount",O205&lt;&gt;"",N(Q205)&gt;N(O205)),"discount over price, ",""))-2)))</f>
        <v/>
      </c>
    </row>
    <row r="206" spans="1:29" x14ac:dyDescent="0.3">
      <c r="A206" s="16"/>
      <c r="B206" s="16"/>
      <c r="C206" s="16"/>
      <c r="D206" s="17"/>
      <c r="E206" s="17"/>
      <c r="F206" s="16"/>
      <c r="G206" s="16"/>
      <c r="H206" s="16"/>
      <c r="I206" s="16"/>
      <c r="J206" s="16"/>
      <c r="K206" s="16"/>
      <c r="L206" s="17"/>
      <c r="M206" s="17"/>
      <c r="N206" s="17"/>
      <c r="O206" s="18"/>
      <c r="P206" s="16"/>
      <c r="Q206" s="16"/>
      <c r="R206" s="19" t="str">
        <f t="shared" si="6"/>
        <v/>
      </c>
      <c r="S206" s="19" t="str">
        <f t="shared" si="7"/>
        <v/>
      </c>
      <c r="T206" s="17"/>
      <c r="U206" s="16"/>
      <c r="V206" s="16"/>
      <c r="W206" s="16"/>
      <c r="X206" s="16"/>
      <c r="Y206" s="16"/>
      <c r="Z206" s="16"/>
      <c r="AA206" s="16"/>
      <c r="AB206" s="20" t="str">
        <f>IF(A206="","",COUNTIF(Variants!$A$3:$A$1502,A206))</f>
        <v/>
      </c>
      <c r="AC206" s="21" t="str">
        <f>IF(A206="","",IF(IF(E206="","description, ","")&amp;IF(AND(O206="",COUNTIFS(Variants!$A$3:$A$1502,A206,Variants!$K$3:$K$1502,"&lt;&gt;")=0),"price, ","")&amp;IF(T206="","image, ","")&amp;IF(B206="","category, ","")&amp;IF(N(AB206)=0,"variant, ","")&amp;IF(AND(P206="Percentage",N(Q206)&gt;100),"discount over 100%, ","")&amp;IF(AND(P206="Fixed amount",O206&lt;&gt;"",N(Q206)&gt;N(O206)),"discount over price, ","")="","Ready","Missing: "&amp;LEFT(IF(E206="","description, ","")&amp;IF(AND(O206="",COUNTIFS(Variants!$A$3:$A$1502,A206,Variants!$K$3:$K$1502,"&lt;&gt;")=0),"price, ","")&amp;IF(T206="","image, ","")&amp;IF(B206="","category, ","")&amp;IF(N(AB206)=0,"variant, ","")&amp;IF(AND(P206="Percentage",N(Q206)&gt;100),"discount over 100%, ","")&amp;IF(AND(P206="Fixed amount",O206&lt;&gt;"",N(Q206)&gt;N(O206)),"discount over price, ",""),LEN(IF(E206="","description, ","")&amp;IF(AND(O206="",COUNTIFS(Variants!$A$3:$A$1502,A206,Variants!$K$3:$K$1502,"&lt;&gt;")=0),"price, ","")&amp;IF(T206="","image, ","")&amp;IF(B206="","category, ","")&amp;IF(N(AB206)=0,"variant, ","")&amp;IF(AND(P206="Percentage",N(Q206)&gt;100),"discount over 100%, ","")&amp;IF(AND(P206="Fixed amount",O206&lt;&gt;"",N(Q206)&gt;N(O206)),"discount over price, ",""))-2)))</f>
        <v/>
      </c>
    </row>
    <row r="207" spans="1:29" x14ac:dyDescent="0.3">
      <c r="A207" s="16"/>
      <c r="B207" s="16"/>
      <c r="C207" s="16"/>
      <c r="D207" s="17"/>
      <c r="E207" s="17"/>
      <c r="F207" s="16"/>
      <c r="G207" s="16"/>
      <c r="H207" s="16"/>
      <c r="I207" s="16"/>
      <c r="J207" s="16"/>
      <c r="K207" s="16"/>
      <c r="L207" s="17"/>
      <c r="M207" s="17"/>
      <c r="N207" s="17"/>
      <c r="O207" s="18"/>
      <c r="P207" s="16"/>
      <c r="Q207" s="16"/>
      <c r="R207" s="19" t="str">
        <f t="shared" si="6"/>
        <v/>
      </c>
      <c r="S207" s="19" t="str">
        <f t="shared" si="7"/>
        <v/>
      </c>
      <c r="T207" s="17"/>
      <c r="U207" s="16"/>
      <c r="V207" s="16"/>
      <c r="W207" s="16"/>
      <c r="X207" s="16"/>
      <c r="Y207" s="16"/>
      <c r="Z207" s="16"/>
      <c r="AA207" s="16"/>
      <c r="AB207" s="20" t="str">
        <f>IF(A207="","",COUNTIF(Variants!$A$3:$A$1502,A207))</f>
        <v/>
      </c>
      <c r="AC207" s="21" t="str">
        <f>IF(A207="","",IF(IF(E207="","description, ","")&amp;IF(AND(O207="",COUNTIFS(Variants!$A$3:$A$1502,A207,Variants!$K$3:$K$1502,"&lt;&gt;")=0),"price, ","")&amp;IF(T207="","image, ","")&amp;IF(B207="","category, ","")&amp;IF(N(AB207)=0,"variant, ","")&amp;IF(AND(P207="Percentage",N(Q207)&gt;100),"discount over 100%, ","")&amp;IF(AND(P207="Fixed amount",O207&lt;&gt;"",N(Q207)&gt;N(O207)),"discount over price, ","")="","Ready","Missing: "&amp;LEFT(IF(E207="","description, ","")&amp;IF(AND(O207="",COUNTIFS(Variants!$A$3:$A$1502,A207,Variants!$K$3:$K$1502,"&lt;&gt;")=0),"price, ","")&amp;IF(T207="","image, ","")&amp;IF(B207="","category, ","")&amp;IF(N(AB207)=0,"variant, ","")&amp;IF(AND(P207="Percentage",N(Q207)&gt;100),"discount over 100%, ","")&amp;IF(AND(P207="Fixed amount",O207&lt;&gt;"",N(Q207)&gt;N(O207)),"discount over price, ",""),LEN(IF(E207="","description, ","")&amp;IF(AND(O207="",COUNTIFS(Variants!$A$3:$A$1502,A207,Variants!$K$3:$K$1502,"&lt;&gt;")=0),"price, ","")&amp;IF(T207="","image, ","")&amp;IF(B207="","category, ","")&amp;IF(N(AB207)=0,"variant, ","")&amp;IF(AND(P207="Percentage",N(Q207)&gt;100),"discount over 100%, ","")&amp;IF(AND(P207="Fixed amount",O207&lt;&gt;"",N(Q207)&gt;N(O207)),"discount over price, ",""))-2)))</f>
        <v/>
      </c>
    </row>
    <row r="208" spans="1:29" x14ac:dyDescent="0.3">
      <c r="A208" s="16"/>
      <c r="B208" s="16"/>
      <c r="C208" s="16"/>
      <c r="D208" s="17"/>
      <c r="E208" s="17"/>
      <c r="F208" s="16"/>
      <c r="G208" s="16"/>
      <c r="H208" s="16"/>
      <c r="I208" s="16"/>
      <c r="J208" s="16"/>
      <c r="K208" s="16"/>
      <c r="L208" s="17"/>
      <c r="M208" s="17"/>
      <c r="N208" s="17"/>
      <c r="O208" s="18"/>
      <c r="P208" s="16"/>
      <c r="Q208" s="16"/>
      <c r="R208" s="19" t="str">
        <f t="shared" si="6"/>
        <v/>
      </c>
      <c r="S208" s="19" t="str">
        <f t="shared" si="7"/>
        <v/>
      </c>
      <c r="T208" s="17"/>
      <c r="U208" s="16"/>
      <c r="V208" s="16"/>
      <c r="W208" s="16"/>
      <c r="X208" s="16"/>
      <c r="Y208" s="16"/>
      <c r="Z208" s="16"/>
      <c r="AA208" s="16"/>
      <c r="AB208" s="20" t="str">
        <f>IF(A208="","",COUNTIF(Variants!$A$3:$A$1502,A208))</f>
        <v/>
      </c>
      <c r="AC208" s="21" t="str">
        <f>IF(A208="","",IF(IF(E208="","description, ","")&amp;IF(AND(O208="",COUNTIFS(Variants!$A$3:$A$1502,A208,Variants!$K$3:$K$1502,"&lt;&gt;")=0),"price, ","")&amp;IF(T208="","image, ","")&amp;IF(B208="","category, ","")&amp;IF(N(AB208)=0,"variant, ","")&amp;IF(AND(P208="Percentage",N(Q208)&gt;100),"discount over 100%, ","")&amp;IF(AND(P208="Fixed amount",O208&lt;&gt;"",N(Q208)&gt;N(O208)),"discount over price, ","")="","Ready","Missing: "&amp;LEFT(IF(E208="","description, ","")&amp;IF(AND(O208="",COUNTIFS(Variants!$A$3:$A$1502,A208,Variants!$K$3:$K$1502,"&lt;&gt;")=0),"price, ","")&amp;IF(T208="","image, ","")&amp;IF(B208="","category, ","")&amp;IF(N(AB208)=0,"variant, ","")&amp;IF(AND(P208="Percentage",N(Q208)&gt;100),"discount over 100%, ","")&amp;IF(AND(P208="Fixed amount",O208&lt;&gt;"",N(Q208)&gt;N(O208)),"discount over price, ",""),LEN(IF(E208="","description, ","")&amp;IF(AND(O208="",COUNTIFS(Variants!$A$3:$A$1502,A208,Variants!$K$3:$K$1502,"&lt;&gt;")=0),"price, ","")&amp;IF(T208="","image, ","")&amp;IF(B208="","category, ","")&amp;IF(N(AB208)=0,"variant, ","")&amp;IF(AND(P208="Percentage",N(Q208)&gt;100),"discount over 100%, ","")&amp;IF(AND(P208="Fixed amount",O208&lt;&gt;"",N(Q208)&gt;N(O208)),"discount over price, ",""))-2)))</f>
        <v/>
      </c>
    </row>
    <row r="209" spans="1:29" x14ac:dyDescent="0.3">
      <c r="A209" s="16"/>
      <c r="B209" s="16"/>
      <c r="C209" s="16"/>
      <c r="D209" s="17"/>
      <c r="E209" s="17"/>
      <c r="F209" s="16"/>
      <c r="G209" s="16"/>
      <c r="H209" s="16"/>
      <c r="I209" s="16"/>
      <c r="J209" s="16"/>
      <c r="K209" s="16"/>
      <c r="L209" s="17"/>
      <c r="M209" s="17"/>
      <c r="N209" s="17"/>
      <c r="O209" s="18"/>
      <c r="P209" s="16"/>
      <c r="Q209" s="16"/>
      <c r="R209" s="19" t="str">
        <f t="shared" si="6"/>
        <v/>
      </c>
      <c r="S209" s="19" t="str">
        <f t="shared" si="7"/>
        <v/>
      </c>
      <c r="T209" s="17"/>
      <c r="U209" s="16"/>
      <c r="V209" s="16"/>
      <c r="W209" s="16"/>
      <c r="X209" s="16"/>
      <c r="Y209" s="16"/>
      <c r="Z209" s="16"/>
      <c r="AA209" s="16"/>
      <c r="AB209" s="20" t="str">
        <f>IF(A209="","",COUNTIF(Variants!$A$3:$A$1502,A209))</f>
        <v/>
      </c>
      <c r="AC209" s="21" t="str">
        <f>IF(A209="","",IF(IF(E209="","description, ","")&amp;IF(AND(O209="",COUNTIFS(Variants!$A$3:$A$1502,A209,Variants!$K$3:$K$1502,"&lt;&gt;")=0),"price, ","")&amp;IF(T209="","image, ","")&amp;IF(B209="","category, ","")&amp;IF(N(AB209)=0,"variant, ","")&amp;IF(AND(P209="Percentage",N(Q209)&gt;100),"discount over 100%, ","")&amp;IF(AND(P209="Fixed amount",O209&lt;&gt;"",N(Q209)&gt;N(O209)),"discount over price, ","")="","Ready","Missing: "&amp;LEFT(IF(E209="","description, ","")&amp;IF(AND(O209="",COUNTIFS(Variants!$A$3:$A$1502,A209,Variants!$K$3:$K$1502,"&lt;&gt;")=0),"price, ","")&amp;IF(T209="","image, ","")&amp;IF(B209="","category, ","")&amp;IF(N(AB209)=0,"variant, ","")&amp;IF(AND(P209="Percentage",N(Q209)&gt;100),"discount over 100%, ","")&amp;IF(AND(P209="Fixed amount",O209&lt;&gt;"",N(Q209)&gt;N(O209)),"discount over price, ",""),LEN(IF(E209="","description, ","")&amp;IF(AND(O209="",COUNTIFS(Variants!$A$3:$A$1502,A209,Variants!$K$3:$K$1502,"&lt;&gt;")=0),"price, ","")&amp;IF(T209="","image, ","")&amp;IF(B209="","category, ","")&amp;IF(N(AB209)=0,"variant, ","")&amp;IF(AND(P209="Percentage",N(Q209)&gt;100),"discount over 100%, ","")&amp;IF(AND(P209="Fixed amount",O209&lt;&gt;"",N(Q209)&gt;N(O209)),"discount over price, ",""))-2)))</f>
        <v/>
      </c>
    </row>
    <row r="210" spans="1:29" x14ac:dyDescent="0.3">
      <c r="A210" s="16"/>
      <c r="B210" s="16"/>
      <c r="C210" s="16"/>
      <c r="D210" s="17"/>
      <c r="E210" s="17"/>
      <c r="F210" s="16"/>
      <c r="G210" s="16"/>
      <c r="H210" s="16"/>
      <c r="I210" s="16"/>
      <c r="J210" s="16"/>
      <c r="K210" s="16"/>
      <c r="L210" s="17"/>
      <c r="M210" s="17"/>
      <c r="N210" s="17"/>
      <c r="O210" s="18"/>
      <c r="P210" s="16"/>
      <c r="Q210" s="16"/>
      <c r="R210" s="19" t="str">
        <f t="shared" si="6"/>
        <v/>
      </c>
      <c r="S210" s="19" t="str">
        <f t="shared" si="7"/>
        <v/>
      </c>
      <c r="T210" s="17"/>
      <c r="U210" s="16"/>
      <c r="V210" s="16"/>
      <c r="W210" s="16"/>
      <c r="X210" s="16"/>
      <c r="Y210" s="16"/>
      <c r="Z210" s="16"/>
      <c r="AA210" s="16"/>
      <c r="AB210" s="20" t="str">
        <f>IF(A210="","",COUNTIF(Variants!$A$3:$A$1502,A210))</f>
        <v/>
      </c>
      <c r="AC210" s="21" t="str">
        <f>IF(A210="","",IF(IF(E210="","description, ","")&amp;IF(AND(O210="",COUNTIFS(Variants!$A$3:$A$1502,A210,Variants!$K$3:$K$1502,"&lt;&gt;")=0),"price, ","")&amp;IF(T210="","image, ","")&amp;IF(B210="","category, ","")&amp;IF(N(AB210)=0,"variant, ","")&amp;IF(AND(P210="Percentage",N(Q210)&gt;100),"discount over 100%, ","")&amp;IF(AND(P210="Fixed amount",O210&lt;&gt;"",N(Q210)&gt;N(O210)),"discount over price, ","")="","Ready","Missing: "&amp;LEFT(IF(E210="","description, ","")&amp;IF(AND(O210="",COUNTIFS(Variants!$A$3:$A$1502,A210,Variants!$K$3:$K$1502,"&lt;&gt;")=0),"price, ","")&amp;IF(T210="","image, ","")&amp;IF(B210="","category, ","")&amp;IF(N(AB210)=0,"variant, ","")&amp;IF(AND(P210="Percentage",N(Q210)&gt;100),"discount over 100%, ","")&amp;IF(AND(P210="Fixed amount",O210&lt;&gt;"",N(Q210)&gt;N(O210)),"discount over price, ",""),LEN(IF(E210="","description, ","")&amp;IF(AND(O210="",COUNTIFS(Variants!$A$3:$A$1502,A210,Variants!$K$3:$K$1502,"&lt;&gt;")=0),"price, ","")&amp;IF(T210="","image, ","")&amp;IF(B210="","category, ","")&amp;IF(N(AB210)=0,"variant, ","")&amp;IF(AND(P210="Percentage",N(Q210)&gt;100),"discount over 100%, ","")&amp;IF(AND(P210="Fixed amount",O210&lt;&gt;"",N(Q210)&gt;N(O210)),"discount over price, ",""))-2)))</f>
        <v/>
      </c>
    </row>
    <row r="211" spans="1:29" x14ac:dyDescent="0.3">
      <c r="A211" s="16"/>
      <c r="B211" s="16"/>
      <c r="C211" s="16"/>
      <c r="D211" s="17"/>
      <c r="E211" s="17"/>
      <c r="F211" s="16"/>
      <c r="G211" s="16"/>
      <c r="H211" s="16"/>
      <c r="I211" s="16"/>
      <c r="J211" s="16"/>
      <c r="K211" s="16"/>
      <c r="L211" s="17"/>
      <c r="M211" s="17"/>
      <c r="N211" s="17"/>
      <c r="O211" s="18"/>
      <c r="P211" s="16"/>
      <c r="Q211" s="16"/>
      <c r="R211" s="19" t="str">
        <f t="shared" si="6"/>
        <v/>
      </c>
      <c r="S211" s="19" t="str">
        <f t="shared" si="7"/>
        <v/>
      </c>
      <c r="T211" s="17"/>
      <c r="U211" s="16"/>
      <c r="V211" s="16"/>
      <c r="W211" s="16"/>
      <c r="X211" s="16"/>
      <c r="Y211" s="16"/>
      <c r="Z211" s="16"/>
      <c r="AA211" s="16"/>
      <c r="AB211" s="20" t="str">
        <f>IF(A211="","",COUNTIF(Variants!$A$3:$A$1502,A211))</f>
        <v/>
      </c>
      <c r="AC211" s="21" t="str">
        <f>IF(A211="","",IF(IF(E211="","description, ","")&amp;IF(AND(O211="",COUNTIFS(Variants!$A$3:$A$1502,A211,Variants!$K$3:$K$1502,"&lt;&gt;")=0),"price, ","")&amp;IF(T211="","image, ","")&amp;IF(B211="","category, ","")&amp;IF(N(AB211)=0,"variant, ","")&amp;IF(AND(P211="Percentage",N(Q211)&gt;100),"discount over 100%, ","")&amp;IF(AND(P211="Fixed amount",O211&lt;&gt;"",N(Q211)&gt;N(O211)),"discount over price, ","")="","Ready","Missing: "&amp;LEFT(IF(E211="","description, ","")&amp;IF(AND(O211="",COUNTIFS(Variants!$A$3:$A$1502,A211,Variants!$K$3:$K$1502,"&lt;&gt;")=0),"price, ","")&amp;IF(T211="","image, ","")&amp;IF(B211="","category, ","")&amp;IF(N(AB211)=0,"variant, ","")&amp;IF(AND(P211="Percentage",N(Q211)&gt;100),"discount over 100%, ","")&amp;IF(AND(P211="Fixed amount",O211&lt;&gt;"",N(Q211)&gt;N(O211)),"discount over price, ",""),LEN(IF(E211="","description, ","")&amp;IF(AND(O211="",COUNTIFS(Variants!$A$3:$A$1502,A211,Variants!$K$3:$K$1502,"&lt;&gt;")=0),"price, ","")&amp;IF(T211="","image, ","")&amp;IF(B211="","category, ","")&amp;IF(N(AB211)=0,"variant, ","")&amp;IF(AND(P211="Percentage",N(Q211)&gt;100),"discount over 100%, ","")&amp;IF(AND(P211="Fixed amount",O211&lt;&gt;"",N(Q211)&gt;N(O211)),"discount over price, ",""))-2)))</f>
        <v/>
      </c>
    </row>
    <row r="212" spans="1:29" x14ac:dyDescent="0.3">
      <c r="A212" s="16"/>
      <c r="B212" s="16"/>
      <c r="C212" s="16"/>
      <c r="D212" s="17"/>
      <c r="E212" s="17"/>
      <c r="F212" s="16"/>
      <c r="G212" s="16"/>
      <c r="H212" s="16"/>
      <c r="I212" s="16"/>
      <c r="J212" s="16"/>
      <c r="K212" s="16"/>
      <c r="L212" s="17"/>
      <c r="M212" s="17"/>
      <c r="N212" s="17"/>
      <c r="O212" s="18"/>
      <c r="P212" s="16"/>
      <c r="Q212" s="16"/>
      <c r="R212" s="19" t="str">
        <f t="shared" si="6"/>
        <v/>
      </c>
      <c r="S212" s="19" t="str">
        <f t="shared" si="7"/>
        <v/>
      </c>
      <c r="T212" s="17"/>
      <c r="U212" s="16"/>
      <c r="V212" s="16"/>
      <c r="W212" s="16"/>
      <c r="X212" s="16"/>
      <c r="Y212" s="16"/>
      <c r="Z212" s="16"/>
      <c r="AA212" s="16"/>
      <c r="AB212" s="20" t="str">
        <f>IF(A212="","",COUNTIF(Variants!$A$3:$A$1502,A212))</f>
        <v/>
      </c>
      <c r="AC212" s="21" t="str">
        <f>IF(A212="","",IF(IF(E212="","description, ","")&amp;IF(AND(O212="",COUNTIFS(Variants!$A$3:$A$1502,A212,Variants!$K$3:$K$1502,"&lt;&gt;")=0),"price, ","")&amp;IF(T212="","image, ","")&amp;IF(B212="","category, ","")&amp;IF(N(AB212)=0,"variant, ","")&amp;IF(AND(P212="Percentage",N(Q212)&gt;100),"discount over 100%, ","")&amp;IF(AND(P212="Fixed amount",O212&lt;&gt;"",N(Q212)&gt;N(O212)),"discount over price, ","")="","Ready","Missing: "&amp;LEFT(IF(E212="","description, ","")&amp;IF(AND(O212="",COUNTIFS(Variants!$A$3:$A$1502,A212,Variants!$K$3:$K$1502,"&lt;&gt;")=0),"price, ","")&amp;IF(T212="","image, ","")&amp;IF(B212="","category, ","")&amp;IF(N(AB212)=0,"variant, ","")&amp;IF(AND(P212="Percentage",N(Q212)&gt;100),"discount over 100%, ","")&amp;IF(AND(P212="Fixed amount",O212&lt;&gt;"",N(Q212)&gt;N(O212)),"discount over price, ",""),LEN(IF(E212="","description, ","")&amp;IF(AND(O212="",COUNTIFS(Variants!$A$3:$A$1502,A212,Variants!$K$3:$K$1502,"&lt;&gt;")=0),"price, ","")&amp;IF(T212="","image, ","")&amp;IF(B212="","category, ","")&amp;IF(N(AB212)=0,"variant, ","")&amp;IF(AND(P212="Percentage",N(Q212)&gt;100),"discount over 100%, ","")&amp;IF(AND(P212="Fixed amount",O212&lt;&gt;"",N(Q212)&gt;N(O212)),"discount over price, ",""))-2)))</f>
        <v/>
      </c>
    </row>
    <row r="213" spans="1:29" x14ac:dyDescent="0.3">
      <c r="A213" s="16"/>
      <c r="B213" s="16"/>
      <c r="C213" s="16"/>
      <c r="D213" s="17"/>
      <c r="E213" s="17"/>
      <c r="F213" s="16"/>
      <c r="G213" s="16"/>
      <c r="H213" s="16"/>
      <c r="I213" s="16"/>
      <c r="J213" s="16"/>
      <c r="K213" s="16"/>
      <c r="L213" s="17"/>
      <c r="M213" s="17"/>
      <c r="N213" s="17"/>
      <c r="O213" s="18"/>
      <c r="P213" s="16"/>
      <c r="Q213" s="16"/>
      <c r="R213" s="19" t="str">
        <f t="shared" si="6"/>
        <v/>
      </c>
      <c r="S213" s="19" t="str">
        <f t="shared" si="7"/>
        <v/>
      </c>
      <c r="T213" s="17"/>
      <c r="U213" s="16"/>
      <c r="V213" s="16"/>
      <c r="W213" s="16"/>
      <c r="X213" s="16"/>
      <c r="Y213" s="16"/>
      <c r="Z213" s="16"/>
      <c r="AA213" s="16"/>
      <c r="AB213" s="20" t="str">
        <f>IF(A213="","",COUNTIF(Variants!$A$3:$A$1502,A213))</f>
        <v/>
      </c>
      <c r="AC213" s="21" t="str">
        <f>IF(A213="","",IF(IF(E213="","description, ","")&amp;IF(AND(O213="",COUNTIFS(Variants!$A$3:$A$1502,A213,Variants!$K$3:$K$1502,"&lt;&gt;")=0),"price, ","")&amp;IF(T213="","image, ","")&amp;IF(B213="","category, ","")&amp;IF(N(AB213)=0,"variant, ","")&amp;IF(AND(P213="Percentage",N(Q213)&gt;100),"discount over 100%, ","")&amp;IF(AND(P213="Fixed amount",O213&lt;&gt;"",N(Q213)&gt;N(O213)),"discount over price, ","")="","Ready","Missing: "&amp;LEFT(IF(E213="","description, ","")&amp;IF(AND(O213="",COUNTIFS(Variants!$A$3:$A$1502,A213,Variants!$K$3:$K$1502,"&lt;&gt;")=0),"price, ","")&amp;IF(T213="","image, ","")&amp;IF(B213="","category, ","")&amp;IF(N(AB213)=0,"variant, ","")&amp;IF(AND(P213="Percentage",N(Q213)&gt;100),"discount over 100%, ","")&amp;IF(AND(P213="Fixed amount",O213&lt;&gt;"",N(Q213)&gt;N(O213)),"discount over price, ",""),LEN(IF(E213="","description, ","")&amp;IF(AND(O213="",COUNTIFS(Variants!$A$3:$A$1502,A213,Variants!$K$3:$K$1502,"&lt;&gt;")=0),"price, ","")&amp;IF(T213="","image, ","")&amp;IF(B213="","category, ","")&amp;IF(N(AB213)=0,"variant, ","")&amp;IF(AND(P213="Percentage",N(Q213)&gt;100),"discount over 100%, ","")&amp;IF(AND(P213="Fixed amount",O213&lt;&gt;"",N(Q213)&gt;N(O213)),"discount over price, ",""))-2)))</f>
        <v/>
      </c>
    </row>
    <row r="214" spans="1:29" x14ac:dyDescent="0.3">
      <c r="A214" s="16"/>
      <c r="B214" s="16"/>
      <c r="C214" s="16"/>
      <c r="D214" s="17"/>
      <c r="E214" s="17"/>
      <c r="F214" s="16"/>
      <c r="G214" s="16"/>
      <c r="H214" s="16"/>
      <c r="I214" s="16"/>
      <c r="J214" s="16"/>
      <c r="K214" s="16"/>
      <c r="L214" s="17"/>
      <c r="M214" s="17"/>
      <c r="N214" s="17"/>
      <c r="O214" s="18"/>
      <c r="P214" s="16"/>
      <c r="Q214" s="16"/>
      <c r="R214" s="19" t="str">
        <f t="shared" si="6"/>
        <v/>
      </c>
      <c r="S214" s="19" t="str">
        <f t="shared" si="7"/>
        <v/>
      </c>
      <c r="T214" s="17"/>
      <c r="U214" s="16"/>
      <c r="V214" s="16"/>
      <c r="W214" s="16"/>
      <c r="X214" s="16"/>
      <c r="Y214" s="16"/>
      <c r="Z214" s="16"/>
      <c r="AA214" s="16"/>
      <c r="AB214" s="20" t="str">
        <f>IF(A214="","",COUNTIF(Variants!$A$3:$A$1502,A214))</f>
        <v/>
      </c>
      <c r="AC214" s="21" t="str">
        <f>IF(A214="","",IF(IF(E214="","description, ","")&amp;IF(AND(O214="",COUNTIFS(Variants!$A$3:$A$1502,A214,Variants!$K$3:$K$1502,"&lt;&gt;")=0),"price, ","")&amp;IF(T214="","image, ","")&amp;IF(B214="","category, ","")&amp;IF(N(AB214)=0,"variant, ","")&amp;IF(AND(P214="Percentage",N(Q214)&gt;100),"discount over 100%, ","")&amp;IF(AND(P214="Fixed amount",O214&lt;&gt;"",N(Q214)&gt;N(O214)),"discount over price, ","")="","Ready","Missing: "&amp;LEFT(IF(E214="","description, ","")&amp;IF(AND(O214="",COUNTIFS(Variants!$A$3:$A$1502,A214,Variants!$K$3:$K$1502,"&lt;&gt;")=0),"price, ","")&amp;IF(T214="","image, ","")&amp;IF(B214="","category, ","")&amp;IF(N(AB214)=0,"variant, ","")&amp;IF(AND(P214="Percentage",N(Q214)&gt;100),"discount over 100%, ","")&amp;IF(AND(P214="Fixed amount",O214&lt;&gt;"",N(Q214)&gt;N(O214)),"discount over price, ",""),LEN(IF(E214="","description, ","")&amp;IF(AND(O214="",COUNTIFS(Variants!$A$3:$A$1502,A214,Variants!$K$3:$K$1502,"&lt;&gt;")=0),"price, ","")&amp;IF(T214="","image, ","")&amp;IF(B214="","category, ","")&amp;IF(N(AB214)=0,"variant, ","")&amp;IF(AND(P214="Percentage",N(Q214)&gt;100),"discount over 100%, ","")&amp;IF(AND(P214="Fixed amount",O214&lt;&gt;"",N(Q214)&gt;N(O214)),"discount over price, ",""))-2)))</f>
        <v/>
      </c>
    </row>
    <row r="215" spans="1:29" x14ac:dyDescent="0.3">
      <c r="A215" s="16"/>
      <c r="B215" s="16"/>
      <c r="C215" s="16"/>
      <c r="D215" s="17"/>
      <c r="E215" s="17"/>
      <c r="F215" s="16"/>
      <c r="G215" s="16"/>
      <c r="H215" s="16"/>
      <c r="I215" s="16"/>
      <c r="J215" s="16"/>
      <c r="K215" s="16"/>
      <c r="L215" s="17"/>
      <c r="M215" s="17"/>
      <c r="N215" s="17"/>
      <c r="O215" s="18"/>
      <c r="P215" s="16"/>
      <c r="Q215" s="16"/>
      <c r="R215" s="19" t="str">
        <f t="shared" si="6"/>
        <v/>
      </c>
      <c r="S215" s="19" t="str">
        <f t="shared" si="7"/>
        <v/>
      </c>
      <c r="T215" s="17"/>
      <c r="U215" s="16"/>
      <c r="V215" s="16"/>
      <c r="W215" s="16"/>
      <c r="X215" s="16"/>
      <c r="Y215" s="16"/>
      <c r="Z215" s="16"/>
      <c r="AA215" s="16"/>
      <c r="AB215" s="20" t="str">
        <f>IF(A215="","",COUNTIF(Variants!$A$3:$A$1502,A215))</f>
        <v/>
      </c>
      <c r="AC215" s="21" t="str">
        <f>IF(A215="","",IF(IF(E215="","description, ","")&amp;IF(AND(O215="",COUNTIFS(Variants!$A$3:$A$1502,A215,Variants!$K$3:$K$1502,"&lt;&gt;")=0),"price, ","")&amp;IF(T215="","image, ","")&amp;IF(B215="","category, ","")&amp;IF(N(AB215)=0,"variant, ","")&amp;IF(AND(P215="Percentage",N(Q215)&gt;100),"discount over 100%, ","")&amp;IF(AND(P215="Fixed amount",O215&lt;&gt;"",N(Q215)&gt;N(O215)),"discount over price, ","")="","Ready","Missing: "&amp;LEFT(IF(E215="","description, ","")&amp;IF(AND(O215="",COUNTIFS(Variants!$A$3:$A$1502,A215,Variants!$K$3:$K$1502,"&lt;&gt;")=0),"price, ","")&amp;IF(T215="","image, ","")&amp;IF(B215="","category, ","")&amp;IF(N(AB215)=0,"variant, ","")&amp;IF(AND(P215="Percentage",N(Q215)&gt;100),"discount over 100%, ","")&amp;IF(AND(P215="Fixed amount",O215&lt;&gt;"",N(Q215)&gt;N(O215)),"discount over price, ",""),LEN(IF(E215="","description, ","")&amp;IF(AND(O215="",COUNTIFS(Variants!$A$3:$A$1502,A215,Variants!$K$3:$K$1502,"&lt;&gt;")=0),"price, ","")&amp;IF(T215="","image, ","")&amp;IF(B215="","category, ","")&amp;IF(N(AB215)=0,"variant, ","")&amp;IF(AND(P215="Percentage",N(Q215)&gt;100),"discount over 100%, ","")&amp;IF(AND(P215="Fixed amount",O215&lt;&gt;"",N(Q215)&gt;N(O215)),"discount over price, ",""))-2)))</f>
        <v/>
      </c>
    </row>
    <row r="216" spans="1:29" x14ac:dyDescent="0.3">
      <c r="A216" s="16"/>
      <c r="B216" s="16"/>
      <c r="C216" s="16"/>
      <c r="D216" s="17"/>
      <c r="E216" s="17"/>
      <c r="F216" s="16"/>
      <c r="G216" s="16"/>
      <c r="H216" s="16"/>
      <c r="I216" s="16"/>
      <c r="J216" s="16"/>
      <c r="K216" s="16"/>
      <c r="L216" s="17"/>
      <c r="M216" s="17"/>
      <c r="N216" s="17"/>
      <c r="O216" s="18"/>
      <c r="P216" s="16"/>
      <c r="Q216" s="16"/>
      <c r="R216" s="19" t="str">
        <f t="shared" si="6"/>
        <v/>
      </c>
      <c r="S216" s="19" t="str">
        <f t="shared" si="7"/>
        <v/>
      </c>
      <c r="T216" s="17"/>
      <c r="U216" s="16"/>
      <c r="V216" s="16"/>
      <c r="W216" s="16"/>
      <c r="X216" s="16"/>
      <c r="Y216" s="16"/>
      <c r="Z216" s="16"/>
      <c r="AA216" s="16"/>
      <c r="AB216" s="20" t="str">
        <f>IF(A216="","",COUNTIF(Variants!$A$3:$A$1502,A216))</f>
        <v/>
      </c>
      <c r="AC216" s="21" t="str">
        <f>IF(A216="","",IF(IF(E216="","description, ","")&amp;IF(AND(O216="",COUNTIFS(Variants!$A$3:$A$1502,A216,Variants!$K$3:$K$1502,"&lt;&gt;")=0),"price, ","")&amp;IF(T216="","image, ","")&amp;IF(B216="","category, ","")&amp;IF(N(AB216)=0,"variant, ","")&amp;IF(AND(P216="Percentage",N(Q216)&gt;100),"discount over 100%, ","")&amp;IF(AND(P216="Fixed amount",O216&lt;&gt;"",N(Q216)&gt;N(O216)),"discount over price, ","")="","Ready","Missing: "&amp;LEFT(IF(E216="","description, ","")&amp;IF(AND(O216="",COUNTIFS(Variants!$A$3:$A$1502,A216,Variants!$K$3:$K$1502,"&lt;&gt;")=0),"price, ","")&amp;IF(T216="","image, ","")&amp;IF(B216="","category, ","")&amp;IF(N(AB216)=0,"variant, ","")&amp;IF(AND(P216="Percentage",N(Q216)&gt;100),"discount over 100%, ","")&amp;IF(AND(P216="Fixed amount",O216&lt;&gt;"",N(Q216)&gt;N(O216)),"discount over price, ",""),LEN(IF(E216="","description, ","")&amp;IF(AND(O216="",COUNTIFS(Variants!$A$3:$A$1502,A216,Variants!$K$3:$K$1502,"&lt;&gt;")=0),"price, ","")&amp;IF(T216="","image, ","")&amp;IF(B216="","category, ","")&amp;IF(N(AB216)=0,"variant, ","")&amp;IF(AND(P216="Percentage",N(Q216)&gt;100),"discount over 100%, ","")&amp;IF(AND(P216="Fixed amount",O216&lt;&gt;"",N(Q216)&gt;N(O216)),"discount over price, ",""))-2)))</f>
        <v/>
      </c>
    </row>
    <row r="217" spans="1:29" x14ac:dyDescent="0.3">
      <c r="A217" s="16"/>
      <c r="B217" s="16"/>
      <c r="C217" s="16"/>
      <c r="D217" s="17"/>
      <c r="E217" s="17"/>
      <c r="F217" s="16"/>
      <c r="G217" s="16"/>
      <c r="H217" s="16"/>
      <c r="I217" s="16"/>
      <c r="J217" s="16"/>
      <c r="K217" s="16"/>
      <c r="L217" s="17"/>
      <c r="M217" s="17"/>
      <c r="N217" s="17"/>
      <c r="O217" s="18"/>
      <c r="P217" s="16"/>
      <c r="Q217" s="16"/>
      <c r="R217" s="19" t="str">
        <f t="shared" si="6"/>
        <v/>
      </c>
      <c r="S217" s="19" t="str">
        <f t="shared" si="7"/>
        <v/>
      </c>
      <c r="T217" s="17"/>
      <c r="U217" s="16"/>
      <c r="V217" s="16"/>
      <c r="W217" s="16"/>
      <c r="X217" s="16"/>
      <c r="Y217" s="16"/>
      <c r="Z217" s="16"/>
      <c r="AA217" s="16"/>
      <c r="AB217" s="20" t="str">
        <f>IF(A217="","",COUNTIF(Variants!$A$3:$A$1502,A217))</f>
        <v/>
      </c>
      <c r="AC217" s="21" t="str">
        <f>IF(A217="","",IF(IF(E217="","description, ","")&amp;IF(AND(O217="",COUNTIFS(Variants!$A$3:$A$1502,A217,Variants!$K$3:$K$1502,"&lt;&gt;")=0),"price, ","")&amp;IF(T217="","image, ","")&amp;IF(B217="","category, ","")&amp;IF(N(AB217)=0,"variant, ","")&amp;IF(AND(P217="Percentage",N(Q217)&gt;100),"discount over 100%, ","")&amp;IF(AND(P217="Fixed amount",O217&lt;&gt;"",N(Q217)&gt;N(O217)),"discount over price, ","")="","Ready","Missing: "&amp;LEFT(IF(E217="","description, ","")&amp;IF(AND(O217="",COUNTIFS(Variants!$A$3:$A$1502,A217,Variants!$K$3:$K$1502,"&lt;&gt;")=0),"price, ","")&amp;IF(T217="","image, ","")&amp;IF(B217="","category, ","")&amp;IF(N(AB217)=0,"variant, ","")&amp;IF(AND(P217="Percentage",N(Q217)&gt;100),"discount over 100%, ","")&amp;IF(AND(P217="Fixed amount",O217&lt;&gt;"",N(Q217)&gt;N(O217)),"discount over price, ",""),LEN(IF(E217="","description, ","")&amp;IF(AND(O217="",COUNTIFS(Variants!$A$3:$A$1502,A217,Variants!$K$3:$K$1502,"&lt;&gt;")=0),"price, ","")&amp;IF(T217="","image, ","")&amp;IF(B217="","category, ","")&amp;IF(N(AB217)=0,"variant, ","")&amp;IF(AND(P217="Percentage",N(Q217)&gt;100),"discount over 100%, ","")&amp;IF(AND(P217="Fixed amount",O217&lt;&gt;"",N(Q217)&gt;N(O217)),"discount over price, ",""))-2)))</f>
        <v/>
      </c>
    </row>
    <row r="218" spans="1:29" x14ac:dyDescent="0.3">
      <c r="A218" s="16"/>
      <c r="B218" s="16"/>
      <c r="C218" s="16"/>
      <c r="D218" s="17"/>
      <c r="E218" s="17"/>
      <c r="F218" s="16"/>
      <c r="G218" s="16"/>
      <c r="H218" s="16"/>
      <c r="I218" s="16"/>
      <c r="J218" s="16"/>
      <c r="K218" s="16"/>
      <c r="L218" s="17"/>
      <c r="M218" s="17"/>
      <c r="N218" s="17"/>
      <c r="O218" s="18"/>
      <c r="P218" s="16"/>
      <c r="Q218" s="16"/>
      <c r="R218" s="19" t="str">
        <f t="shared" si="6"/>
        <v/>
      </c>
      <c r="S218" s="19" t="str">
        <f t="shared" si="7"/>
        <v/>
      </c>
      <c r="T218" s="17"/>
      <c r="U218" s="16"/>
      <c r="V218" s="16"/>
      <c r="W218" s="16"/>
      <c r="X218" s="16"/>
      <c r="Y218" s="16"/>
      <c r="Z218" s="16"/>
      <c r="AA218" s="16"/>
      <c r="AB218" s="20" t="str">
        <f>IF(A218="","",COUNTIF(Variants!$A$3:$A$1502,A218))</f>
        <v/>
      </c>
      <c r="AC218" s="21" t="str">
        <f>IF(A218="","",IF(IF(E218="","description, ","")&amp;IF(AND(O218="",COUNTIFS(Variants!$A$3:$A$1502,A218,Variants!$K$3:$K$1502,"&lt;&gt;")=0),"price, ","")&amp;IF(T218="","image, ","")&amp;IF(B218="","category, ","")&amp;IF(N(AB218)=0,"variant, ","")&amp;IF(AND(P218="Percentage",N(Q218)&gt;100),"discount over 100%, ","")&amp;IF(AND(P218="Fixed amount",O218&lt;&gt;"",N(Q218)&gt;N(O218)),"discount over price, ","")="","Ready","Missing: "&amp;LEFT(IF(E218="","description, ","")&amp;IF(AND(O218="",COUNTIFS(Variants!$A$3:$A$1502,A218,Variants!$K$3:$K$1502,"&lt;&gt;")=0),"price, ","")&amp;IF(T218="","image, ","")&amp;IF(B218="","category, ","")&amp;IF(N(AB218)=0,"variant, ","")&amp;IF(AND(P218="Percentage",N(Q218)&gt;100),"discount over 100%, ","")&amp;IF(AND(P218="Fixed amount",O218&lt;&gt;"",N(Q218)&gt;N(O218)),"discount over price, ",""),LEN(IF(E218="","description, ","")&amp;IF(AND(O218="",COUNTIFS(Variants!$A$3:$A$1502,A218,Variants!$K$3:$K$1502,"&lt;&gt;")=0),"price, ","")&amp;IF(T218="","image, ","")&amp;IF(B218="","category, ","")&amp;IF(N(AB218)=0,"variant, ","")&amp;IF(AND(P218="Percentage",N(Q218)&gt;100),"discount over 100%, ","")&amp;IF(AND(P218="Fixed amount",O218&lt;&gt;"",N(Q218)&gt;N(O218)),"discount over price, ",""))-2)))</f>
        <v/>
      </c>
    </row>
    <row r="219" spans="1:29" x14ac:dyDescent="0.3">
      <c r="A219" s="16"/>
      <c r="B219" s="16"/>
      <c r="C219" s="16"/>
      <c r="D219" s="17"/>
      <c r="E219" s="17"/>
      <c r="F219" s="16"/>
      <c r="G219" s="16"/>
      <c r="H219" s="16"/>
      <c r="I219" s="16"/>
      <c r="J219" s="16"/>
      <c r="K219" s="16"/>
      <c r="L219" s="17"/>
      <c r="M219" s="17"/>
      <c r="N219" s="17"/>
      <c r="O219" s="18"/>
      <c r="P219" s="16"/>
      <c r="Q219" s="16"/>
      <c r="R219" s="19" t="str">
        <f t="shared" si="6"/>
        <v/>
      </c>
      <c r="S219" s="19" t="str">
        <f t="shared" si="7"/>
        <v/>
      </c>
      <c r="T219" s="17"/>
      <c r="U219" s="16"/>
      <c r="V219" s="16"/>
      <c r="W219" s="16"/>
      <c r="X219" s="16"/>
      <c r="Y219" s="16"/>
      <c r="Z219" s="16"/>
      <c r="AA219" s="16"/>
      <c r="AB219" s="20" t="str">
        <f>IF(A219="","",COUNTIF(Variants!$A$3:$A$1502,A219))</f>
        <v/>
      </c>
      <c r="AC219" s="21" t="str">
        <f>IF(A219="","",IF(IF(E219="","description, ","")&amp;IF(AND(O219="",COUNTIFS(Variants!$A$3:$A$1502,A219,Variants!$K$3:$K$1502,"&lt;&gt;")=0),"price, ","")&amp;IF(T219="","image, ","")&amp;IF(B219="","category, ","")&amp;IF(N(AB219)=0,"variant, ","")&amp;IF(AND(P219="Percentage",N(Q219)&gt;100),"discount over 100%, ","")&amp;IF(AND(P219="Fixed amount",O219&lt;&gt;"",N(Q219)&gt;N(O219)),"discount over price, ","")="","Ready","Missing: "&amp;LEFT(IF(E219="","description, ","")&amp;IF(AND(O219="",COUNTIFS(Variants!$A$3:$A$1502,A219,Variants!$K$3:$K$1502,"&lt;&gt;")=0),"price, ","")&amp;IF(T219="","image, ","")&amp;IF(B219="","category, ","")&amp;IF(N(AB219)=0,"variant, ","")&amp;IF(AND(P219="Percentage",N(Q219)&gt;100),"discount over 100%, ","")&amp;IF(AND(P219="Fixed amount",O219&lt;&gt;"",N(Q219)&gt;N(O219)),"discount over price, ",""),LEN(IF(E219="","description, ","")&amp;IF(AND(O219="",COUNTIFS(Variants!$A$3:$A$1502,A219,Variants!$K$3:$K$1502,"&lt;&gt;")=0),"price, ","")&amp;IF(T219="","image, ","")&amp;IF(B219="","category, ","")&amp;IF(N(AB219)=0,"variant, ","")&amp;IF(AND(P219="Percentage",N(Q219)&gt;100),"discount over 100%, ","")&amp;IF(AND(P219="Fixed amount",O219&lt;&gt;"",N(Q219)&gt;N(O219)),"discount over price, ",""))-2)))</f>
        <v/>
      </c>
    </row>
    <row r="220" spans="1:29" x14ac:dyDescent="0.3">
      <c r="A220" s="16"/>
      <c r="B220" s="16"/>
      <c r="C220" s="16"/>
      <c r="D220" s="17"/>
      <c r="E220" s="17"/>
      <c r="F220" s="16"/>
      <c r="G220" s="16"/>
      <c r="H220" s="16"/>
      <c r="I220" s="16"/>
      <c r="J220" s="16"/>
      <c r="K220" s="16"/>
      <c r="L220" s="17"/>
      <c r="M220" s="17"/>
      <c r="N220" s="17"/>
      <c r="O220" s="18"/>
      <c r="P220" s="16"/>
      <c r="Q220" s="16"/>
      <c r="R220" s="19" t="str">
        <f t="shared" si="6"/>
        <v/>
      </c>
      <c r="S220" s="19" t="str">
        <f t="shared" si="7"/>
        <v/>
      </c>
      <c r="T220" s="17"/>
      <c r="U220" s="16"/>
      <c r="V220" s="16"/>
      <c r="W220" s="16"/>
      <c r="X220" s="16"/>
      <c r="Y220" s="16"/>
      <c r="Z220" s="16"/>
      <c r="AA220" s="16"/>
      <c r="AB220" s="20" t="str">
        <f>IF(A220="","",COUNTIF(Variants!$A$3:$A$1502,A220))</f>
        <v/>
      </c>
      <c r="AC220" s="21" t="str">
        <f>IF(A220="","",IF(IF(E220="","description, ","")&amp;IF(AND(O220="",COUNTIFS(Variants!$A$3:$A$1502,A220,Variants!$K$3:$K$1502,"&lt;&gt;")=0),"price, ","")&amp;IF(T220="","image, ","")&amp;IF(B220="","category, ","")&amp;IF(N(AB220)=0,"variant, ","")&amp;IF(AND(P220="Percentage",N(Q220)&gt;100),"discount over 100%, ","")&amp;IF(AND(P220="Fixed amount",O220&lt;&gt;"",N(Q220)&gt;N(O220)),"discount over price, ","")="","Ready","Missing: "&amp;LEFT(IF(E220="","description, ","")&amp;IF(AND(O220="",COUNTIFS(Variants!$A$3:$A$1502,A220,Variants!$K$3:$K$1502,"&lt;&gt;")=0),"price, ","")&amp;IF(T220="","image, ","")&amp;IF(B220="","category, ","")&amp;IF(N(AB220)=0,"variant, ","")&amp;IF(AND(P220="Percentage",N(Q220)&gt;100),"discount over 100%, ","")&amp;IF(AND(P220="Fixed amount",O220&lt;&gt;"",N(Q220)&gt;N(O220)),"discount over price, ",""),LEN(IF(E220="","description, ","")&amp;IF(AND(O220="",COUNTIFS(Variants!$A$3:$A$1502,A220,Variants!$K$3:$K$1502,"&lt;&gt;")=0),"price, ","")&amp;IF(T220="","image, ","")&amp;IF(B220="","category, ","")&amp;IF(N(AB220)=0,"variant, ","")&amp;IF(AND(P220="Percentage",N(Q220)&gt;100),"discount over 100%, ","")&amp;IF(AND(P220="Fixed amount",O220&lt;&gt;"",N(Q220)&gt;N(O220)),"discount over price, ",""))-2)))</f>
        <v/>
      </c>
    </row>
    <row r="221" spans="1:29" x14ac:dyDescent="0.3">
      <c r="A221" s="16"/>
      <c r="B221" s="16"/>
      <c r="C221" s="16"/>
      <c r="D221" s="17"/>
      <c r="E221" s="17"/>
      <c r="F221" s="16"/>
      <c r="G221" s="16"/>
      <c r="H221" s="16"/>
      <c r="I221" s="16"/>
      <c r="J221" s="16"/>
      <c r="K221" s="16"/>
      <c r="L221" s="17"/>
      <c r="M221" s="17"/>
      <c r="N221" s="17"/>
      <c r="O221" s="18"/>
      <c r="P221" s="16"/>
      <c r="Q221" s="16"/>
      <c r="R221" s="19" t="str">
        <f t="shared" si="6"/>
        <v/>
      </c>
      <c r="S221" s="19" t="str">
        <f t="shared" si="7"/>
        <v/>
      </c>
      <c r="T221" s="17"/>
      <c r="U221" s="16"/>
      <c r="V221" s="16"/>
      <c r="W221" s="16"/>
      <c r="X221" s="16"/>
      <c r="Y221" s="16"/>
      <c r="Z221" s="16"/>
      <c r="AA221" s="16"/>
      <c r="AB221" s="20" t="str">
        <f>IF(A221="","",COUNTIF(Variants!$A$3:$A$1502,A221))</f>
        <v/>
      </c>
      <c r="AC221" s="21" t="str">
        <f>IF(A221="","",IF(IF(E221="","description, ","")&amp;IF(AND(O221="",COUNTIFS(Variants!$A$3:$A$1502,A221,Variants!$K$3:$K$1502,"&lt;&gt;")=0),"price, ","")&amp;IF(T221="","image, ","")&amp;IF(B221="","category, ","")&amp;IF(N(AB221)=0,"variant, ","")&amp;IF(AND(P221="Percentage",N(Q221)&gt;100),"discount over 100%, ","")&amp;IF(AND(P221="Fixed amount",O221&lt;&gt;"",N(Q221)&gt;N(O221)),"discount over price, ","")="","Ready","Missing: "&amp;LEFT(IF(E221="","description, ","")&amp;IF(AND(O221="",COUNTIFS(Variants!$A$3:$A$1502,A221,Variants!$K$3:$K$1502,"&lt;&gt;")=0),"price, ","")&amp;IF(T221="","image, ","")&amp;IF(B221="","category, ","")&amp;IF(N(AB221)=0,"variant, ","")&amp;IF(AND(P221="Percentage",N(Q221)&gt;100),"discount over 100%, ","")&amp;IF(AND(P221="Fixed amount",O221&lt;&gt;"",N(Q221)&gt;N(O221)),"discount over price, ",""),LEN(IF(E221="","description, ","")&amp;IF(AND(O221="",COUNTIFS(Variants!$A$3:$A$1502,A221,Variants!$K$3:$K$1502,"&lt;&gt;")=0),"price, ","")&amp;IF(T221="","image, ","")&amp;IF(B221="","category, ","")&amp;IF(N(AB221)=0,"variant, ","")&amp;IF(AND(P221="Percentage",N(Q221)&gt;100),"discount over 100%, ","")&amp;IF(AND(P221="Fixed amount",O221&lt;&gt;"",N(Q221)&gt;N(O221)),"discount over price, ",""))-2)))</f>
        <v/>
      </c>
    </row>
    <row r="222" spans="1:29" x14ac:dyDescent="0.3">
      <c r="A222" s="16"/>
      <c r="B222" s="16"/>
      <c r="C222" s="16"/>
      <c r="D222" s="17"/>
      <c r="E222" s="17"/>
      <c r="F222" s="16"/>
      <c r="G222" s="16"/>
      <c r="H222" s="16"/>
      <c r="I222" s="16"/>
      <c r="J222" s="16"/>
      <c r="K222" s="16"/>
      <c r="L222" s="17"/>
      <c r="M222" s="17"/>
      <c r="N222" s="17"/>
      <c r="O222" s="18"/>
      <c r="P222" s="16"/>
      <c r="Q222" s="16"/>
      <c r="R222" s="19" t="str">
        <f t="shared" si="6"/>
        <v/>
      </c>
      <c r="S222" s="19" t="str">
        <f t="shared" si="7"/>
        <v/>
      </c>
      <c r="T222" s="17"/>
      <c r="U222" s="16"/>
      <c r="V222" s="16"/>
      <c r="W222" s="16"/>
      <c r="X222" s="16"/>
      <c r="Y222" s="16"/>
      <c r="Z222" s="16"/>
      <c r="AA222" s="16"/>
      <c r="AB222" s="20" t="str">
        <f>IF(A222="","",COUNTIF(Variants!$A$3:$A$1502,A222))</f>
        <v/>
      </c>
      <c r="AC222" s="21" t="str">
        <f>IF(A222="","",IF(IF(E222="","description, ","")&amp;IF(AND(O222="",COUNTIFS(Variants!$A$3:$A$1502,A222,Variants!$K$3:$K$1502,"&lt;&gt;")=0),"price, ","")&amp;IF(T222="","image, ","")&amp;IF(B222="","category, ","")&amp;IF(N(AB222)=0,"variant, ","")&amp;IF(AND(P222="Percentage",N(Q222)&gt;100),"discount over 100%, ","")&amp;IF(AND(P222="Fixed amount",O222&lt;&gt;"",N(Q222)&gt;N(O222)),"discount over price, ","")="","Ready","Missing: "&amp;LEFT(IF(E222="","description, ","")&amp;IF(AND(O222="",COUNTIFS(Variants!$A$3:$A$1502,A222,Variants!$K$3:$K$1502,"&lt;&gt;")=0),"price, ","")&amp;IF(T222="","image, ","")&amp;IF(B222="","category, ","")&amp;IF(N(AB222)=0,"variant, ","")&amp;IF(AND(P222="Percentage",N(Q222)&gt;100),"discount over 100%, ","")&amp;IF(AND(P222="Fixed amount",O222&lt;&gt;"",N(Q222)&gt;N(O222)),"discount over price, ",""),LEN(IF(E222="","description, ","")&amp;IF(AND(O222="",COUNTIFS(Variants!$A$3:$A$1502,A222,Variants!$K$3:$K$1502,"&lt;&gt;")=0),"price, ","")&amp;IF(T222="","image, ","")&amp;IF(B222="","category, ","")&amp;IF(N(AB222)=0,"variant, ","")&amp;IF(AND(P222="Percentage",N(Q222)&gt;100),"discount over 100%, ","")&amp;IF(AND(P222="Fixed amount",O222&lt;&gt;"",N(Q222)&gt;N(O222)),"discount over price, ",""))-2)))</f>
        <v/>
      </c>
    </row>
    <row r="223" spans="1:29" x14ac:dyDescent="0.3">
      <c r="A223" s="16"/>
      <c r="B223" s="16"/>
      <c r="C223" s="16"/>
      <c r="D223" s="17"/>
      <c r="E223" s="17"/>
      <c r="F223" s="16"/>
      <c r="G223" s="16"/>
      <c r="H223" s="16"/>
      <c r="I223" s="16"/>
      <c r="J223" s="16"/>
      <c r="K223" s="16"/>
      <c r="L223" s="17"/>
      <c r="M223" s="17"/>
      <c r="N223" s="17"/>
      <c r="O223" s="18"/>
      <c r="P223" s="16"/>
      <c r="Q223" s="16"/>
      <c r="R223" s="19" t="str">
        <f t="shared" si="6"/>
        <v/>
      </c>
      <c r="S223" s="19" t="str">
        <f t="shared" si="7"/>
        <v/>
      </c>
      <c r="T223" s="17"/>
      <c r="U223" s="16"/>
      <c r="V223" s="16"/>
      <c r="W223" s="16"/>
      <c r="X223" s="16"/>
      <c r="Y223" s="16"/>
      <c r="Z223" s="16"/>
      <c r="AA223" s="16"/>
      <c r="AB223" s="20" t="str">
        <f>IF(A223="","",COUNTIF(Variants!$A$3:$A$1502,A223))</f>
        <v/>
      </c>
      <c r="AC223" s="21" t="str">
        <f>IF(A223="","",IF(IF(E223="","description, ","")&amp;IF(AND(O223="",COUNTIFS(Variants!$A$3:$A$1502,A223,Variants!$K$3:$K$1502,"&lt;&gt;")=0),"price, ","")&amp;IF(T223="","image, ","")&amp;IF(B223="","category, ","")&amp;IF(N(AB223)=0,"variant, ","")&amp;IF(AND(P223="Percentage",N(Q223)&gt;100),"discount over 100%, ","")&amp;IF(AND(P223="Fixed amount",O223&lt;&gt;"",N(Q223)&gt;N(O223)),"discount over price, ","")="","Ready","Missing: "&amp;LEFT(IF(E223="","description, ","")&amp;IF(AND(O223="",COUNTIFS(Variants!$A$3:$A$1502,A223,Variants!$K$3:$K$1502,"&lt;&gt;")=0),"price, ","")&amp;IF(T223="","image, ","")&amp;IF(B223="","category, ","")&amp;IF(N(AB223)=0,"variant, ","")&amp;IF(AND(P223="Percentage",N(Q223)&gt;100),"discount over 100%, ","")&amp;IF(AND(P223="Fixed amount",O223&lt;&gt;"",N(Q223)&gt;N(O223)),"discount over price, ",""),LEN(IF(E223="","description, ","")&amp;IF(AND(O223="",COUNTIFS(Variants!$A$3:$A$1502,A223,Variants!$K$3:$K$1502,"&lt;&gt;")=0),"price, ","")&amp;IF(T223="","image, ","")&amp;IF(B223="","category, ","")&amp;IF(N(AB223)=0,"variant, ","")&amp;IF(AND(P223="Percentage",N(Q223)&gt;100),"discount over 100%, ","")&amp;IF(AND(P223="Fixed amount",O223&lt;&gt;"",N(Q223)&gt;N(O223)),"discount over price, ",""))-2)))</f>
        <v/>
      </c>
    </row>
    <row r="224" spans="1:29" x14ac:dyDescent="0.3">
      <c r="A224" s="16"/>
      <c r="B224" s="16"/>
      <c r="C224" s="16"/>
      <c r="D224" s="17"/>
      <c r="E224" s="17"/>
      <c r="F224" s="16"/>
      <c r="G224" s="16"/>
      <c r="H224" s="16"/>
      <c r="I224" s="16"/>
      <c r="J224" s="16"/>
      <c r="K224" s="16"/>
      <c r="L224" s="17"/>
      <c r="M224" s="17"/>
      <c r="N224" s="17"/>
      <c r="O224" s="18"/>
      <c r="P224" s="16"/>
      <c r="Q224" s="16"/>
      <c r="R224" s="19" t="str">
        <f t="shared" si="6"/>
        <v/>
      </c>
      <c r="S224" s="19" t="str">
        <f t="shared" si="7"/>
        <v/>
      </c>
      <c r="T224" s="17"/>
      <c r="U224" s="16"/>
      <c r="V224" s="16"/>
      <c r="W224" s="16"/>
      <c r="X224" s="16"/>
      <c r="Y224" s="16"/>
      <c r="Z224" s="16"/>
      <c r="AA224" s="16"/>
      <c r="AB224" s="20" t="str">
        <f>IF(A224="","",COUNTIF(Variants!$A$3:$A$1502,A224))</f>
        <v/>
      </c>
      <c r="AC224" s="21" t="str">
        <f>IF(A224="","",IF(IF(E224="","description, ","")&amp;IF(AND(O224="",COUNTIFS(Variants!$A$3:$A$1502,A224,Variants!$K$3:$K$1502,"&lt;&gt;")=0),"price, ","")&amp;IF(T224="","image, ","")&amp;IF(B224="","category, ","")&amp;IF(N(AB224)=0,"variant, ","")&amp;IF(AND(P224="Percentage",N(Q224)&gt;100),"discount over 100%, ","")&amp;IF(AND(P224="Fixed amount",O224&lt;&gt;"",N(Q224)&gt;N(O224)),"discount over price, ","")="","Ready","Missing: "&amp;LEFT(IF(E224="","description, ","")&amp;IF(AND(O224="",COUNTIFS(Variants!$A$3:$A$1502,A224,Variants!$K$3:$K$1502,"&lt;&gt;")=0),"price, ","")&amp;IF(T224="","image, ","")&amp;IF(B224="","category, ","")&amp;IF(N(AB224)=0,"variant, ","")&amp;IF(AND(P224="Percentage",N(Q224)&gt;100),"discount over 100%, ","")&amp;IF(AND(P224="Fixed amount",O224&lt;&gt;"",N(Q224)&gt;N(O224)),"discount over price, ",""),LEN(IF(E224="","description, ","")&amp;IF(AND(O224="",COUNTIFS(Variants!$A$3:$A$1502,A224,Variants!$K$3:$K$1502,"&lt;&gt;")=0),"price, ","")&amp;IF(T224="","image, ","")&amp;IF(B224="","category, ","")&amp;IF(N(AB224)=0,"variant, ","")&amp;IF(AND(P224="Percentage",N(Q224)&gt;100),"discount over 100%, ","")&amp;IF(AND(P224="Fixed amount",O224&lt;&gt;"",N(Q224)&gt;N(O224)),"discount over price, ",""))-2)))</f>
        <v/>
      </c>
    </row>
    <row r="225" spans="1:29" x14ac:dyDescent="0.3">
      <c r="A225" s="16"/>
      <c r="B225" s="16"/>
      <c r="C225" s="16"/>
      <c r="D225" s="17"/>
      <c r="E225" s="17"/>
      <c r="F225" s="16"/>
      <c r="G225" s="16"/>
      <c r="H225" s="16"/>
      <c r="I225" s="16"/>
      <c r="J225" s="16"/>
      <c r="K225" s="16"/>
      <c r="L225" s="17"/>
      <c r="M225" s="17"/>
      <c r="N225" s="17"/>
      <c r="O225" s="18"/>
      <c r="P225" s="16"/>
      <c r="Q225" s="16"/>
      <c r="R225" s="19" t="str">
        <f t="shared" si="6"/>
        <v/>
      </c>
      <c r="S225" s="19" t="str">
        <f t="shared" si="7"/>
        <v/>
      </c>
      <c r="T225" s="17"/>
      <c r="U225" s="16"/>
      <c r="V225" s="16"/>
      <c r="W225" s="16"/>
      <c r="X225" s="16"/>
      <c r="Y225" s="16"/>
      <c r="Z225" s="16"/>
      <c r="AA225" s="16"/>
      <c r="AB225" s="20" t="str">
        <f>IF(A225="","",COUNTIF(Variants!$A$3:$A$1502,A225))</f>
        <v/>
      </c>
      <c r="AC225" s="21" t="str">
        <f>IF(A225="","",IF(IF(E225="","description, ","")&amp;IF(AND(O225="",COUNTIFS(Variants!$A$3:$A$1502,A225,Variants!$K$3:$K$1502,"&lt;&gt;")=0),"price, ","")&amp;IF(T225="","image, ","")&amp;IF(B225="","category, ","")&amp;IF(N(AB225)=0,"variant, ","")&amp;IF(AND(P225="Percentage",N(Q225)&gt;100),"discount over 100%, ","")&amp;IF(AND(P225="Fixed amount",O225&lt;&gt;"",N(Q225)&gt;N(O225)),"discount over price, ","")="","Ready","Missing: "&amp;LEFT(IF(E225="","description, ","")&amp;IF(AND(O225="",COUNTIFS(Variants!$A$3:$A$1502,A225,Variants!$K$3:$K$1502,"&lt;&gt;")=0),"price, ","")&amp;IF(T225="","image, ","")&amp;IF(B225="","category, ","")&amp;IF(N(AB225)=0,"variant, ","")&amp;IF(AND(P225="Percentage",N(Q225)&gt;100),"discount over 100%, ","")&amp;IF(AND(P225="Fixed amount",O225&lt;&gt;"",N(Q225)&gt;N(O225)),"discount over price, ",""),LEN(IF(E225="","description, ","")&amp;IF(AND(O225="",COUNTIFS(Variants!$A$3:$A$1502,A225,Variants!$K$3:$K$1502,"&lt;&gt;")=0),"price, ","")&amp;IF(T225="","image, ","")&amp;IF(B225="","category, ","")&amp;IF(N(AB225)=0,"variant, ","")&amp;IF(AND(P225="Percentage",N(Q225)&gt;100),"discount over 100%, ","")&amp;IF(AND(P225="Fixed amount",O225&lt;&gt;"",N(Q225)&gt;N(O225)),"discount over price, ",""))-2)))</f>
        <v/>
      </c>
    </row>
    <row r="226" spans="1:29" x14ac:dyDescent="0.3">
      <c r="A226" s="16"/>
      <c r="B226" s="16"/>
      <c r="C226" s="16"/>
      <c r="D226" s="17"/>
      <c r="E226" s="17"/>
      <c r="F226" s="16"/>
      <c r="G226" s="16"/>
      <c r="H226" s="16"/>
      <c r="I226" s="16"/>
      <c r="J226" s="16"/>
      <c r="K226" s="16"/>
      <c r="L226" s="17"/>
      <c r="M226" s="17"/>
      <c r="N226" s="17"/>
      <c r="O226" s="18"/>
      <c r="P226" s="16"/>
      <c r="Q226" s="16"/>
      <c r="R226" s="19" t="str">
        <f t="shared" si="6"/>
        <v/>
      </c>
      <c r="S226" s="19" t="str">
        <f t="shared" si="7"/>
        <v/>
      </c>
      <c r="T226" s="17"/>
      <c r="U226" s="16"/>
      <c r="V226" s="16"/>
      <c r="W226" s="16"/>
      <c r="X226" s="16"/>
      <c r="Y226" s="16"/>
      <c r="Z226" s="16"/>
      <c r="AA226" s="16"/>
      <c r="AB226" s="20" t="str">
        <f>IF(A226="","",COUNTIF(Variants!$A$3:$A$1502,A226))</f>
        <v/>
      </c>
      <c r="AC226" s="21" t="str">
        <f>IF(A226="","",IF(IF(E226="","description, ","")&amp;IF(AND(O226="",COUNTIFS(Variants!$A$3:$A$1502,A226,Variants!$K$3:$K$1502,"&lt;&gt;")=0),"price, ","")&amp;IF(T226="","image, ","")&amp;IF(B226="","category, ","")&amp;IF(N(AB226)=0,"variant, ","")&amp;IF(AND(P226="Percentage",N(Q226)&gt;100),"discount over 100%, ","")&amp;IF(AND(P226="Fixed amount",O226&lt;&gt;"",N(Q226)&gt;N(O226)),"discount over price, ","")="","Ready","Missing: "&amp;LEFT(IF(E226="","description, ","")&amp;IF(AND(O226="",COUNTIFS(Variants!$A$3:$A$1502,A226,Variants!$K$3:$K$1502,"&lt;&gt;")=0),"price, ","")&amp;IF(T226="","image, ","")&amp;IF(B226="","category, ","")&amp;IF(N(AB226)=0,"variant, ","")&amp;IF(AND(P226="Percentage",N(Q226)&gt;100),"discount over 100%, ","")&amp;IF(AND(P226="Fixed amount",O226&lt;&gt;"",N(Q226)&gt;N(O226)),"discount over price, ",""),LEN(IF(E226="","description, ","")&amp;IF(AND(O226="",COUNTIFS(Variants!$A$3:$A$1502,A226,Variants!$K$3:$K$1502,"&lt;&gt;")=0),"price, ","")&amp;IF(T226="","image, ","")&amp;IF(B226="","category, ","")&amp;IF(N(AB226)=0,"variant, ","")&amp;IF(AND(P226="Percentage",N(Q226)&gt;100),"discount over 100%, ","")&amp;IF(AND(P226="Fixed amount",O226&lt;&gt;"",N(Q226)&gt;N(O226)),"discount over price, ",""))-2)))</f>
        <v/>
      </c>
    </row>
    <row r="227" spans="1:29" x14ac:dyDescent="0.3">
      <c r="A227" s="16"/>
      <c r="B227" s="16"/>
      <c r="C227" s="16"/>
      <c r="D227" s="17"/>
      <c r="E227" s="17"/>
      <c r="F227" s="16"/>
      <c r="G227" s="16"/>
      <c r="H227" s="16"/>
      <c r="I227" s="16"/>
      <c r="J227" s="16"/>
      <c r="K227" s="16"/>
      <c r="L227" s="17"/>
      <c r="M227" s="17"/>
      <c r="N227" s="17"/>
      <c r="O227" s="18"/>
      <c r="P227" s="16"/>
      <c r="Q227" s="16"/>
      <c r="R227" s="19" t="str">
        <f t="shared" si="6"/>
        <v/>
      </c>
      <c r="S227" s="19" t="str">
        <f t="shared" si="7"/>
        <v/>
      </c>
      <c r="T227" s="17"/>
      <c r="U227" s="16"/>
      <c r="V227" s="16"/>
      <c r="W227" s="16"/>
      <c r="X227" s="16"/>
      <c r="Y227" s="16"/>
      <c r="Z227" s="16"/>
      <c r="AA227" s="16"/>
      <c r="AB227" s="20" t="str">
        <f>IF(A227="","",COUNTIF(Variants!$A$3:$A$1502,A227))</f>
        <v/>
      </c>
      <c r="AC227" s="21" t="str">
        <f>IF(A227="","",IF(IF(E227="","description, ","")&amp;IF(AND(O227="",COUNTIFS(Variants!$A$3:$A$1502,A227,Variants!$K$3:$K$1502,"&lt;&gt;")=0),"price, ","")&amp;IF(T227="","image, ","")&amp;IF(B227="","category, ","")&amp;IF(N(AB227)=0,"variant, ","")&amp;IF(AND(P227="Percentage",N(Q227)&gt;100),"discount over 100%, ","")&amp;IF(AND(P227="Fixed amount",O227&lt;&gt;"",N(Q227)&gt;N(O227)),"discount over price, ","")="","Ready","Missing: "&amp;LEFT(IF(E227="","description, ","")&amp;IF(AND(O227="",COUNTIFS(Variants!$A$3:$A$1502,A227,Variants!$K$3:$K$1502,"&lt;&gt;")=0),"price, ","")&amp;IF(T227="","image, ","")&amp;IF(B227="","category, ","")&amp;IF(N(AB227)=0,"variant, ","")&amp;IF(AND(P227="Percentage",N(Q227)&gt;100),"discount over 100%, ","")&amp;IF(AND(P227="Fixed amount",O227&lt;&gt;"",N(Q227)&gt;N(O227)),"discount over price, ",""),LEN(IF(E227="","description, ","")&amp;IF(AND(O227="",COUNTIFS(Variants!$A$3:$A$1502,A227,Variants!$K$3:$K$1502,"&lt;&gt;")=0),"price, ","")&amp;IF(T227="","image, ","")&amp;IF(B227="","category, ","")&amp;IF(N(AB227)=0,"variant, ","")&amp;IF(AND(P227="Percentage",N(Q227)&gt;100),"discount over 100%, ","")&amp;IF(AND(P227="Fixed amount",O227&lt;&gt;"",N(Q227)&gt;N(O227)),"discount over price, ",""))-2)))</f>
        <v/>
      </c>
    </row>
    <row r="228" spans="1:29" x14ac:dyDescent="0.3">
      <c r="A228" s="16"/>
      <c r="B228" s="16"/>
      <c r="C228" s="16"/>
      <c r="D228" s="17"/>
      <c r="E228" s="17"/>
      <c r="F228" s="16"/>
      <c r="G228" s="16"/>
      <c r="H228" s="16"/>
      <c r="I228" s="16"/>
      <c r="J228" s="16"/>
      <c r="K228" s="16"/>
      <c r="L228" s="17"/>
      <c r="M228" s="17"/>
      <c r="N228" s="17"/>
      <c r="O228" s="18"/>
      <c r="P228" s="16"/>
      <c r="Q228" s="16"/>
      <c r="R228" s="19" t="str">
        <f t="shared" si="6"/>
        <v/>
      </c>
      <c r="S228" s="19" t="str">
        <f t="shared" si="7"/>
        <v/>
      </c>
      <c r="T228" s="17"/>
      <c r="U228" s="16"/>
      <c r="V228" s="16"/>
      <c r="W228" s="16"/>
      <c r="X228" s="16"/>
      <c r="Y228" s="16"/>
      <c r="Z228" s="16"/>
      <c r="AA228" s="16"/>
      <c r="AB228" s="20" t="str">
        <f>IF(A228="","",COUNTIF(Variants!$A$3:$A$1502,A228))</f>
        <v/>
      </c>
      <c r="AC228" s="21" t="str">
        <f>IF(A228="","",IF(IF(E228="","description, ","")&amp;IF(AND(O228="",COUNTIFS(Variants!$A$3:$A$1502,A228,Variants!$K$3:$K$1502,"&lt;&gt;")=0),"price, ","")&amp;IF(T228="","image, ","")&amp;IF(B228="","category, ","")&amp;IF(N(AB228)=0,"variant, ","")&amp;IF(AND(P228="Percentage",N(Q228)&gt;100),"discount over 100%, ","")&amp;IF(AND(P228="Fixed amount",O228&lt;&gt;"",N(Q228)&gt;N(O228)),"discount over price, ","")="","Ready","Missing: "&amp;LEFT(IF(E228="","description, ","")&amp;IF(AND(O228="",COUNTIFS(Variants!$A$3:$A$1502,A228,Variants!$K$3:$K$1502,"&lt;&gt;")=0),"price, ","")&amp;IF(T228="","image, ","")&amp;IF(B228="","category, ","")&amp;IF(N(AB228)=0,"variant, ","")&amp;IF(AND(P228="Percentage",N(Q228)&gt;100),"discount over 100%, ","")&amp;IF(AND(P228="Fixed amount",O228&lt;&gt;"",N(Q228)&gt;N(O228)),"discount over price, ",""),LEN(IF(E228="","description, ","")&amp;IF(AND(O228="",COUNTIFS(Variants!$A$3:$A$1502,A228,Variants!$K$3:$K$1502,"&lt;&gt;")=0),"price, ","")&amp;IF(T228="","image, ","")&amp;IF(B228="","category, ","")&amp;IF(N(AB228)=0,"variant, ","")&amp;IF(AND(P228="Percentage",N(Q228)&gt;100),"discount over 100%, ","")&amp;IF(AND(P228="Fixed amount",O228&lt;&gt;"",N(Q228)&gt;N(O228)),"discount over price, ",""))-2)))</f>
        <v/>
      </c>
    </row>
    <row r="229" spans="1:29" x14ac:dyDescent="0.3">
      <c r="A229" s="16"/>
      <c r="B229" s="16"/>
      <c r="C229" s="16"/>
      <c r="D229" s="17"/>
      <c r="E229" s="17"/>
      <c r="F229" s="16"/>
      <c r="G229" s="16"/>
      <c r="H229" s="16"/>
      <c r="I229" s="16"/>
      <c r="J229" s="16"/>
      <c r="K229" s="16"/>
      <c r="L229" s="17"/>
      <c r="M229" s="17"/>
      <c r="N229" s="17"/>
      <c r="O229" s="18"/>
      <c r="P229" s="16"/>
      <c r="Q229" s="16"/>
      <c r="R229" s="19" t="str">
        <f t="shared" si="6"/>
        <v/>
      </c>
      <c r="S229" s="19" t="str">
        <f t="shared" si="7"/>
        <v/>
      </c>
      <c r="T229" s="17"/>
      <c r="U229" s="16"/>
      <c r="V229" s="16"/>
      <c r="W229" s="16"/>
      <c r="X229" s="16"/>
      <c r="Y229" s="16"/>
      <c r="Z229" s="16"/>
      <c r="AA229" s="16"/>
      <c r="AB229" s="20" t="str">
        <f>IF(A229="","",COUNTIF(Variants!$A$3:$A$1502,A229))</f>
        <v/>
      </c>
      <c r="AC229" s="21" t="str">
        <f>IF(A229="","",IF(IF(E229="","description, ","")&amp;IF(AND(O229="",COUNTIFS(Variants!$A$3:$A$1502,A229,Variants!$K$3:$K$1502,"&lt;&gt;")=0),"price, ","")&amp;IF(T229="","image, ","")&amp;IF(B229="","category, ","")&amp;IF(N(AB229)=0,"variant, ","")&amp;IF(AND(P229="Percentage",N(Q229)&gt;100),"discount over 100%, ","")&amp;IF(AND(P229="Fixed amount",O229&lt;&gt;"",N(Q229)&gt;N(O229)),"discount over price, ","")="","Ready","Missing: "&amp;LEFT(IF(E229="","description, ","")&amp;IF(AND(O229="",COUNTIFS(Variants!$A$3:$A$1502,A229,Variants!$K$3:$K$1502,"&lt;&gt;")=0),"price, ","")&amp;IF(T229="","image, ","")&amp;IF(B229="","category, ","")&amp;IF(N(AB229)=0,"variant, ","")&amp;IF(AND(P229="Percentage",N(Q229)&gt;100),"discount over 100%, ","")&amp;IF(AND(P229="Fixed amount",O229&lt;&gt;"",N(Q229)&gt;N(O229)),"discount over price, ",""),LEN(IF(E229="","description, ","")&amp;IF(AND(O229="",COUNTIFS(Variants!$A$3:$A$1502,A229,Variants!$K$3:$K$1502,"&lt;&gt;")=0),"price, ","")&amp;IF(T229="","image, ","")&amp;IF(B229="","category, ","")&amp;IF(N(AB229)=0,"variant, ","")&amp;IF(AND(P229="Percentage",N(Q229)&gt;100),"discount over 100%, ","")&amp;IF(AND(P229="Fixed amount",O229&lt;&gt;"",N(Q229)&gt;N(O229)),"discount over price, ",""))-2)))</f>
        <v/>
      </c>
    </row>
    <row r="230" spans="1:29" x14ac:dyDescent="0.3">
      <c r="A230" s="16"/>
      <c r="B230" s="16"/>
      <c r="C230" s="16"/>
      <c r="D230" s="17"/>
      <c r="E230" s="17"/>
      <c r="F230" s="16"/>
      <c r="G230" s="16"/>
      <c r="H230" s="16"/>
      <c r="I230" s="16"/>
      <c r="J230" s="16"/>
      <c r="K230" s="16"/>
      <c r="L230" s="17"/>
      <c r="M230" s="17"/>
      <c r="N230" s="17"/>
      <c r="O230" s="18"/>
      <c r="P230" s="16"/>
      <c r="Q230" s="16"/>
      <c r="R230" s="19" t="str">
        <f t="shared" si="6"/>
        <v/>
      </c>
      <c r="S230" s="19" t="str">
        <f t="shared" si="7"/>
        <v/>
      </c>
      <c r="T230" s="17"/>
      <c r="U230" s="16"/>
      <c r="V230" s="16"/>
      <c r="W230" s="16"/>
      <c r="X230" s="16"/>
      <c r="Y230" s="16"/>
      <c r="Z230" s="16"/>
      <c r="AA230" s="16"/>
      <c r="AB230" s="20" t="str">
        <f>IF(A230="","",COUNTIF(Variants!$A$3:$A$1502,A230))</f>
        <v/>
      </c>
      <c r="AC230" s="21" t="str">
        <f>IF(A230="","",IF(IF(E230="","description, ","")&amp;IF(AND(O230="",COUNTIFS(Variants!$A$3:$A$1502,A230,Variants!$K$3:$K$1502,"&lt;&gt;")=0),"price, ","")&amp;IF(T230="","image, ","")&amp;IF(B230="","category, ","")&amp;IF(N(AB230)=0,"variant, ","")&amp;IF(AND(P230="Percentage",N(Q230)&gt;100),"discount over 100%, ","")&amp;IF(AND(P230="Fixed amount",O230&lt;&gt;"",N(Q230)&gt;N(O230)),"discount over price, ","")="","Ready","Missing: "&amp;LEFT(IF(E230="","description, ","")&amp;IF(AND(O230="",COUNTIFS(Variants!$A$3:$A$1502,A230,Variants!$K$3:$K$1502,"&lt;&gt;")=0),"price, ","")&amp;IF(T230="","image, ","")&amp;IF(B230="","category, ","")&amp;IF(N(AB230)=0,"variant, ","")&amp;IF(AND(P230="Percentage",N(Q230)&gt;100),"discount over 100%, ","")&amp;IF(AND(P230="Fixed amount",O230&lt;&gt;"",N(Q230)&gt;N(O230)),"discount over price, ",""),LEN(IF(E230="","description, ","")&amp;IF(AND(O230="",COUNTIFS(Variants!$A$3:$A$1502,A230,Variants!$K$3:$K$1502,"&lt;&gt;")=0),"price, ","")&amp;IF(T230="","image, ","")&amp;IF(B230="","category, ","")&amp;IF(N(AB230)=0,"variant, ","")&amp;IF(AND(P230="Percentage",N(Q230)&gt;100),"discount over 100%, ","")&amp;IF(AND(P230="Fixed amount",O230&lt;&gt;"",N(Q230)&gt;N(O230)),"discount over price, ",""))-2)))</f>
        <v/>
      </c>
    </row>
    <row r="231" spans="1:29" x14ac:dyDescent="0.3">
      <c r="A231" s="16"/>
      <c r="B231" s="16"/>
      <c r="C231" s="16"/>
      <c r="D231" s="17"/>
      <c r="E231" s="17"/>
      <c r="F231" s="16"/>
      <c r="G231" s="16"/>
      <c r="H231" s="16"/>
      <c r="I231" s="16"/>
      <c r="J231" s="16"/>
      <c r="K231" s="16"/>
      <c r="L231" s="17"/>
      <c r="M231" s="17"/>
      <c r="N231" s="17"/>
      <c r="O231" s="18"/>
      <c r="P231" s="16"/>
      <c r="Q231" s="16"/>
      <c r="R231" s="19" t="str">
        <f t="shared" si="6"/>
        <v/>
      </c>
      <c r="S231" s="19" t="str">
        <f t="shared" si="7"/>
        <v/>
      </c>
      <c r="T231" s="17"/>
      <c r="U231" s="16"/>
      <c r="V231" s="16"/>
      <c r="W231" s="16"/>
      <c r="X231" s="16"/>
      <c r="Y231" s="16"/>
      <c r="Z231" s="16"/>
      <c r="AA231" s="16"/>
      <c r="AB231" s="20" t="str">
        <f>IF(A231="","",COUNTIF(Variants!$A$3:$A$1502,A231))</f>
        <v/>
      </c>
      <c r="AC231" s="21" t="str">
        <f>IF(A231="","",IF(IF(E231="","description, ","")&amp;IF(AND(O231="",COUNTIFS(Variants!$A$3:$A$1502,A231,Variants!$K$3:$K$1502,"&lt;&gt;")=0),"price, ","")&amp;IF(T231="","image, ","")&amp;IF(B231="","category, ","")&amp;IF(N(AB231)=0,"variant, ","")&amp;IF(AND(P231="Percentage",N(Q231)&gt;100),"discount over 100%, ","")&amp;IF(AND(P231="Fixed amount",O231&lt;&gt;"",N(Q231)&gt;N(O231)),"discount over price, ","")="","Ready","Missing: "&amp;LEFT(IF(E231="","description, ","")&amp;IF(AND(O231="",COUNTIFS(Variants!$A$3:$A$1502,A231,Variants!$K$3:$K$1502,"&lt;&gt;")=0),"price, ","")&amp;IF(T231="","image, ","")&amp;IF(B231="","category, ","")&amp;IF(N(AB231)=0,"variant, ","")&amp;IF(AND(P231="Percentage",N(Q231)&gt;100),"discount over 100%, ","")&amp;IF(AND(P231="Fixed amount",O231&lt;&gt;"",N(Q231)&gt;N(O231)),"discount over price, ",""),LEN(IF(E231="","description, ","")&amp;IF(AND(O231="",COUNTIFS(Variants!$A$3:$A$1502,A231,Variants!$K$3:$K$1502,"&lt;&gt;")=0),"price, ","")&amp;IF(T231="","image, ","")&amp;IF(B231="","category, ","")&amp;IF(N(AB231)=0,"variant, ","")&amp;IF(AND(P231="Percentage",N(Q231)&gt;100),"discount over 100%, ","")&amp;IF(AND(P231="Fixed amount",O231&lt;&gt;"",N(Q231)&gt;N(O231)),"discount over price, ",""))-2)))</f>
        <v/>
      </c>
    </row>
    <row r="232" spans="1:29" x14ac:dyDescent="0.3">
      <c r="A232" s="16"/>
      <c r="B232" s="16"/>
      <c r="C232" s="16"/>
      <c r="D232" s="17"/>
      <c r="E232" s="17"/>
      <c r="F232" s="16"/>
      <c r="G232" s="16"/>
      <c r="H232" s="16"/>
      <c r="I232" s="16"/>
      <c r="J232" s="16"/>
      <c r="K232" s="16"/>
      <c r="L232" s="17"/>
      <c r="M232" s="17"/>
      <c r="N232" s="17"/>
      <c r="O232" s="18"/>
      <c r="P232" s="16"/>
      <c r="Q232" s="16"/>
      <c r="R232" s="19" t="str">
        <f t="shared" si="6"/>
        <v/>
      </c>
      <c r="S232" s="19" t="str">
        <f t="shared" si="7"/>
        <v/>
      </c>
      <c r="T232" s="17"/>
      <c r="U232" s="16"/>
      <c r="V232" s="16"/>
      <c r="W232" s="16"/>
      <c r="X232" s="16"/>
      <c r="Y232" s="16"/>
      <c r="Z232" s="16"/>
      <c r="AA232" s="16"/>
      <c r="AB232" s="20" t="str">
        <f>IF(A232="","",COUNTIF(Variants!$A$3:$A$1502,A232))</f>
        <v/>
      </c>
      <c r="AC232" s="21" t="str">
        <f>IF(A232="","",IF(IF(E232="","description, ","")&amp;IF(AND(O232="",COUNTIFS(Variants!$A$3:$A$1502,A232,Variants!$K$3:$K$1502,"&lt;&gt;")=0),"price, ","")&amp;IF(T232="","image, ","")&amp;IF(B232="","category, ","")&amp;IF(N(AB232)=0,"variant, ","")&amp;IF(AND(P232="Percentage",N(Q232)&gt;100),"discount over 100%, ","")&amp;IF(AND(P232="Fixed amount",O232&lt;&gt;"",N(Q232)&gt;N(O232)),"discount over price, ","")="","Ready","Missing: "&amp;LEFT(IF(E232="","description, ","")&amp;IF(AND(O232="",COUNTIFS(Variants!$A$3:$A$1502,A232,Variants!$K$3:$K$1502,"&lt;&gt;")=0),"price, ","")&amp;IF(T232="","image, ","")&amp;IF(B232="","category, ","")&amp;IF(N(AB232)=0,"variant, ","")&amp;IF(AND(P232="Percentage",N(Q232)&gt;100),"discount over 100%, ","")&amp;IF(AND(P232="Fixed amount",O232&lt;&gt;"",N(Q232)&gt;N(O232)),"discount over price, ",""),LEN(IF(E232="","description, ","")&amp;IF(AND(O232="",COUNTIFS(Variants!$A$3:$A$1502,A232,Variants!$K$3:$K$1502,"&lt;&gt;")=0),"price, ","")&amp;IF(T232="","image, ","")&amp;IF(B232="","category, ","")&amp;IF(N(AB232)=0,"variant, ","")&amp;IF(AND(P232="Percentage",N(Q232)&gt;100),"discount over 100%, ","")&amp;IF(AND(P232="Fixed amount",O232&lt;&gt;"",N(Q232)&gt;N(O232)),"discount over price, ",""))-2)))</f>
        <v/>
      </c>
    </row>
    <row r="233" spans="1:29" x14ac:dyDescent="0.3">
      <c r="A233" s="16"/>
      <c r="B233" s="16"/>
      <c r="C233" s="16"/>
      <c r="D233" s="17"/>
      <c r="E233" s="17"/>
      <c r="F233" s="16"/>
      <c r="G233" s="16"/>
      <c r="H233" s="16"/>
      <c r="I233" s="16"/>
      <c r="J233" s="16"/>
      <c r="K233" s="16"/>
      <c r="L233" s="17"/>
      <c r="M233" s="17"/>
      <c r="N233" s="17"/>
      <c r="O233" s="18"/>
      <c r="P233" s="16"/>
      <c r="Q233" s="16"/>
      <c r="R233" s="19" t="str">
        <f t="shared" si="6"/>
        <v/>
      </c>
      <c r="S233" s="19" t="str">
        <f t="shared" si="7"/>
        <v/>
      </c>
      <c r="T233" s="17"/>
      <c r="U233" s="16"/>
      <c r="V233" s="16"/>
      <c r="W233" s="16"/>
      <c r="X233" s="16"/>
      <c r="Y233" s="16"/>
      <c r="Z233" s="16"/>
      <c r="AA233" s="16"/>
      <c r="AB233" s="20" t="str">
        <f>IF(A233="","",COUNTIF(Variants!$A$3:$A$1502,A233))</f>
        <v/>
      </c>
      <c r="AC233" s="21" t="str">
        <f>IF(A233="","",IF(IF(E233="","description, ","")&amp;IF(AND(O233="",COUNTIFS(Variants!$A$3:$A$1502,A233,Variants!$K$3:$K$1502,"&lt;&gt;")=0),"price, ","")&amp;IF(T233="","image, ","")&amp;IF(B233="","category, ","")&amp;IF(N(AB233)=0,"variant, ","")&amp;IF(AND(P233="Percentage",N(Q233)&gt;100),"discount over 100%, ","")&amp;IF(AND(P233="Fixed amount",O233&lt;&gt;"",N(Q233)&gt;N(O233)),"discount over price, ","")="","Ready","Missing: "&amp;LEFT(IF(E233="","description, ","")&amp;IF(AND(O233="",COUNTIFS(Variants!$A$3:$A$1502,A233,Variants!$K$3:$K$1502,"&lt;&gt;")=0),"price, ","")&amp;IF(T233="","image, ","")&amp;IF(B233="","category, ","")&amp;IF(N(AB233)=0,"variant, ","")&amp;IF(AND(P233="Percentage",N(Q233)&gt;100),"discount over 100%, ","")&amp;IF(AND(P233="Fixed amount",O233&lt;&gt;"",N(Q233)&gt;N(O233)),"discount over price, ",""),LEN(IF(E233="","description, ","")&amp;IF(AND(O233="",COUNTIFS(Variants!$A$3:$A$1502,A233,Variants!$K$3:$K$1502,"&lt;&gt;")=0),"price, ","")&amp;IF(T233="","image, ","")&amp;IF(B233="","category, ","")&amp;IF(N(AB233)=0,"variant, ","")&amp;IF(AND(P233="Percentage",N(Q233)&gt;100),"discount over 100%, ","")&amp;IF(AND(P233="Fixed amount",O233&lt;&gt;"",N(Q233)&gt;N(O233)),"discount over price, ",""))-2)))</f>
        <v/>
      </c>
    </row>
    <row r="234" spans="1:29" x14ac:dyDescent="0.3">
      <c r="A234" s="16"/>
      <c r="B234" s="16"/>
      <c r="C234" s="16"/>
      <c r="D234" s="17"/>
      <c r="E234" s="17"/>
      <c r="F234" s="16"/>
      <c r="G234" s="16"/>
      <c r="H234" s="16"/>
      <c r="I234" s="16"/>
      <c r="J234" s="16"/>
      <c r="K234" s="16"/>
      <c r="L234" s="17"/>
      <c r="M234" s="17"/>
      <c r="N234" s="17"/>
      <c r="O234" s="18"/>
      <c r="P234" s="16"/>
      <c r="Q234" s="16"/>
      <c r="R234" s="19" t="str">
        <f t="shared" si="6"/>
        <v/>
      </c>
      <c r="S234" s="19" t="str">
        <f t="shared" si="7"/>
        <v/>
      </c>
      <c r="T234" s="17"/>
      <c r="U234" s="16"/>
      <c r="V234" s="16"/>
      <c r="W234" s="16"/>
      <c r="X234" s="16"/>
      <c r="Y234" s="16"/>
      <c r="Z234" s="16"/>
      <c r="AA234" s="16"/>
      <c r="AB234" s="20" t="str">
        <f>IF(A234="","",COUNTIF(Variants!$A$3:$A$1502,A234))</f>
        <v/>
      </c>
      <c r="AC234" s="21" t="str">
        <f>IF(A234="","",IF(IF(E234="","description, ","")&amp;IF(AND(O234="",COUNTIFS(Variants!$A$3:$A$1502,A234,Variants!$K$3:$K$1502,"&lt;&gt;")=0),"price, ","")&amp;IF(T234="","image, ","")&amp;IF(B234="","category, ","")&amp;IF(N(AB234)=0,"variant, ","")&amp;IF(AND(P234="Percentage",N(Q234)&gt;100),"discount over 100%, ","")&amp;IF(AND(P234="Fixed amount",O234&lt;&gt;"",N(Q234)&gt;N(O234)),"discount over price, ","")="","Ready","Missing: "&amp;LEFT(IF(E234="","description, ","")&amp;IF(AND(O234="",COUNTIFS(Variants!$A$3:$A$1502,A234,Variants!$K$3:$K$1502,"&lt;&gt;")=0),"price, ","")&amp;IF(T234="","image, ","")&amp;IF(B234="","category, ","")&amp;IF(N(AB234)=0,"variant, ","")&amp;IF(AND(P234="Percentage",N(Q234)&gt;100),"discount over 100%, ","")&amp;IF(AND(P234="Fixed amount",O234&lt;&gt;"",N(Q234)&gt;N(O234)),"discount over price, ",""),LEN(IF(E234="","description, ","")&amp;IF(AND(O234="",COUNTIFS(Variants!$A$3:$A$1502,A234,Variants!$K$3:$K$1502,"&lt;&gt;")=0),"price, ","")&amp;IF(T234="","image, ","")&amp;IF(B234="","category, ","")&amp;IF(N(AB234)=0,"variant, ","")&amp;IF(AND(P234="Percentage",N(Q234)&gt;100),"discount over 100%, ","")&amp;IF(AND(P234="Fixed amount",O234&lt;&gt;"",N(Q234)&gt;N(O234)),"discount over price, ",""))-2)))</f>
        <v/>
      </c>
    </row>
    <row r="235" spans="1:29" x14ac:dyDescent="0.3">
      <c r="A235" s="16"/>
      <c r="B235" s="16"/>
      <c r="C235" s="16"/>
      <c r="D235" s="17"/>
      <c r="E235" s="17"/>
      <c r="F235" s="16"/>
      <c r="G235" s="16"/>
      <c r="H235" s="16"/>
      <c r="I235" s="16"/>
      <c r="J235" s="16"/>
      <c r="K235" s="16"/>
      <c r="L235" s="17"/>
      <c r="M235" s="17"/>
      <c r="N235" s="17"/>
      <c r="O235" s="18"/>
      <c r="P235" s="16"/>
      <c r="Q235" s="16"/>
      <c r="R235" s="19" t="str">
        <f t="shared" si="6"/>
        <v/>
      </c>
      <c r="S235" s="19" t="str">
        <f t="shared" si="7"/>
        <v/>
      </c>
      <c r="T235" s="17"/>
      <c r="U235" s="16"/>
      <c r="V235" s="16"/>
      <c r="W235" s="16"/>
      <c r="X235" s="16"/>
      <c r="Y235" s="16"/>
      <c r="Z235" s="16"/>
      <c r="AA235" s="16"/>
      <c r="AB235" s="20" t="str">
        <f>IF(A235="","",COUNTIF(Variants!$A$3:$A$1502,A235))</f>
        <v/>
      </c>
      <c r="AC235" s="21" t="str">
        <f>IF(A235="","",IF(IF(E235="","description, ","")&amp;IF(AND(O235="",COUNTIFS(Variants!$A$3:$A$1502,A235,Variants!$K$3:$K$1502,"&lt;&gt;")=0),"price, ","")&amp;IF(T235="","image, ","")&amp;IF(B235="","category, ","")&amp;IF(N(AB235)=0,"variant, ","")&amp;IF(AND(P235="Percentage",N(Q235)&gt;100),"discount over 100%, ","")&amp;IF(AND(P235="Fixed amount",O235&lt;&gt;"",N(Q235)&gt;N(O235)),"discount over price, ","")="","Ready","Missing: "&amp;LEFT(IF(E235="","description, ","")&amp;IF(AND(O235="",COUNTIFS(Variants!$A$3:$A$1502,A235,Variants!$K$3:$K$1502,"&lt;&gt;")=0),"price, ","")&amp;IF(T235="","image, ","")&amp;IF(B235="","category, ","")&amp;IF(N(AB235)=0,"variant, ","")&amp;IF(AND(P235="Percentage",N(Q235)&gt;100),"discount over 100%, ","")&amp;IF(AND(P235="Fixed amount",O235&lt;&gt;"",N(Q235)&gt;N(O235)),"discount over price, ",""),LEN(IF(E235="","description, ","")&amp;IF(AND(O235="",COUNTIFS(Variants!$A$3:$A$1502,A235,Variants!$K$3:$K$1502,"&lt;&gt;")=0),"price, ","")&amp;IF(T235="","image, ","")&amp;IF(B235="","category, ","")&amp;IF(N(AB235)=0,"variant, ","")&amp;IF(AND(P235="Percentage",N(Q235)&gt;100),"discount over 100%, ","")&amp;IF(AND(P235="Fixed amount",O235&lt;&gt;"",N(Q235)&gt;N(O235)),"discount over price, ",""))-2)))</f>
        <v/>
      </c>
    </row>
    <row r="236" spans="1:29" x14ac:dyDescent="0.3">
      <c r="A236" s="16"/>
      <c r="B236" s="16"/>
      <c r="C236" s="16"/>
      <c r="D236" s="17"/>
      <c r="E236" s="17"/>
      <c r="F236" s="16"/>
      <c r="G236" s="16"/>
      <c r="H236" s="16"/>
      <c r="I236" s="16"/>
      <c r="J236" s="16"/>
      <c r="K236" s="16"/>
      <c r="L236" s="17"/>
      <c r="M236" s="17"/>
      <c r="N236" s="17"/>
      <c r="O236" s="18"/>
      <c r="P236" s="16"/>
      <c r="Q236" s="16"/>
      <c r="R236" s="19" t="str">
        <f t="shared" si="6"/>
        <v/>
      </c>
      <c r="S236" s="19" t="str">
        <f t="shared" si="7"/>
        <v/>
      </c>
      <c r="T236" s="17"/>
      <c r="U236" s="16"/>
      <c r="V236" s="16"/>
      <c r="W236" s="16"/>
      <c r="X236" s="16"/>
      <c r="Y236" s="16"/>
      <c r="Z236" s="16"/>
      <c r="AA236" s="16"/>
      <c r="AB236" s="20" t="str">
        <f>IF(A236="","",COUNTIF(Variants!$A$3:$A$1502,A236))</f>
        <v/>
      </c>
      <c r="AC236" s="21" t="str">
        <f>IF(A236="","",IF(IF(E236="","description, ","")&amp;IF(AND(O236="",COUNTIFS(Variants!$A$3:$A$1502,A236,Variants!$K$3:$K$1502,"&lt;&gt;")=0),"price, ","")&amp;IF(T236="","image, ","")&amp;IF(B236="","category, ","")&amp;IF(N(AB236)=0,"variant, ","")&amp;IF(AND(P236="Percentage",N(Q236)&gt;100),"discount over 100%, ","")&amp;IF(AND(P236="Fixed amount",O236&lt;&gt;"",N(Q236)&gt;N(O236)),"discount over price, ","")="","Ready","Missing: "&amp;LEFT(IF(E236="","description, ","")&amp;IF(AND(O236="",COUNTIFS(Variants!$A$3:$A$1502,A236,Variants!$K$3:$K$1502,"&lt;&gt;")=0),"price, ","")&amp;IF(T236="","image, ","")&amp;IF(B236="","category, ","")&amp;IF(N(AB236)=0,"variant, ","")&amp;IF(AND(P236="Percentage",N(Q236)&gt;100),"discount over 100%, ","")&amp;IF(AND(P236="Fixed amount",O236&lt;&gt;"",N(Q236)&gt;N(O236)),"discount over price, ",""),LEN(IF(E236="","description, ","")&amp;IF(AND(O236="",COUNTIFS(Variants!$A$3:$A$1502,A236,Variants!$K$3:$K$1502,"&lt;&gt;")=0),"price, ","")&amp;IF(T236="","image, ","")&amp;IF(B236="","category, ","")&amp;IF(N(AB236)=0,"variant, ","")&amp;IF(AND(P236="Percentage",N(Q236)&gt;100),"discount over 100%, ","")&amp;IF(AND(P236="Fixed amount",O236&lt;&gt;"",N(Q236)&gt;N(O236)),"discount over price, ",""))-2)))</f>
        <v/>
      </c>
    </row>
    <row r="237" spans="1:29" x14ac:dyDescent="0.3">
      <c r="A237" s="16"/>
      <c r="B237" s="16"/>
      <c r="C237" s="16"/>
      <c r="D237" s="17"/>
      <c r="E237" s="17"/>
      <c r="F237" s="16"/>
      <c r="G237" s="16"/>
      <c r="H237" s="16"/>
      <c r="I237" s="16"/>
      <c r="J237" s="16"/>
      <c r="K237" s="16"/>
      <c r="L237" s="17"/>
      <c r="M237" s="17"/>
      <c r="N237" s="17"/>
      <c r="O237" s="18"/>
      <c r="P237" s="16"/>
      <c r="Q237" s="16"/>
      <c r="R237" s="19" t="str">
        <f t="shared" si="6"/>
        <v/>
      </c>
      <c r="S237" s="19" t="str">
        <f t="shared" si="7"/>
        <v/>
      </c>
      <c r="T237" s="17"/>
      <c r="U237" s="16"/>
      <c r="V237" s="16"/>
      <c r="W237" s="16"/>
      <c r="X237" s="16"/>
      <c r="Y237" s="16"/>
      <c r="Z237" s="16"/>
      <c r="AA237" s="16"/>
      <c r="AB237" s="20" t="str">
        <f>IF(A237="","",COUNTIF(Variants!$A$3:$A$1502,A237))</f>
        <v/>
      </c>
      <c r="AC237" s="21" t="str">
        <f>IF(A237="","",IF(IF(E237="","description, ","")&amp;IF(AND(O237="",COUNTIFS(Variants!$A$3:$A$1502,A237,Variants!$K$3:$K$1502,"&lt;&gt;")=0),"price, ","")&amp;IF(T237="","image, ","")&amp;IF(B237="","category, ","")&amp;IF(N(AB237)=0,"variant, ","")&amp;IF(AND(P237="Percentage",N(Q237)&gt;100),"discount over 100%, ","")&amp;IF(AND(P237="Fixed amount",O237&lt;&gt;"",N(Q237)&gt;N(O237)),"discount over price, ","")="","Ready","Missing: "&amp;LEFT(IF(E237="","description, ","")&amp;IF(AND(O237="",COUNTIFS(Variants!$A$3:$A$1502,A237,Variants!$K$3:$K$1502,"&lt;&gt;")=0),"price, ","")&amp;IF(T237="","image, ","")&amp;IF(B237="","category, ","")&amp;IF(N(AB237)=0,"variant, ","")&amp;IF(AND(P237="Percentage",N(Q237)&gt;100),"discount over 100%, ","")&amp;IF(AND(P237="Fixed amount",O237&lt;&gt;"",N(Q237)&gt;N(O237)),"discount over price, ",""),LEN(IF(E237="","description, ","")&amp;IF(AND(O237="",COUNTIFS(Variants!$A$3:$A$1502,A237,Variants!$K$3:$K$1502,"&lt;&gt;")=0),"price, ","")&amp;IF(T237="","image, ","")&amp;IF(B237="","category, ","")&amp;IF(N(AB237)=0,"variant, ","")&amp;IF(AND(P237="Percentage",N(Q237)&gt;100),"discount over 100%, ","")&amp;IF(AND(P237="Fixed amount",O237&lt;&gt;"",N(Q237)&gt;N(O237)),"discount over price, ",""))-2)))</f>
        <v/>
      </c>
    </row>
    <row r="238" spans="1:29" x14ac:dyDescent="0.3">
      <c r="A238" s="16"/>
      <c r="B238" s="16"/>
      <c r="C238" s="16"/>
      <c r="D238" s="17"/>
      <c r="E238" s="17"/>
      <c r="F238" s="16"/>
      <c r="G238" s="16"/>
      <c r="H238" s="16"/>
      <c r="I238" s="16"/>
      <c r="J238" s="16"/>
      <c r="K238" s="16"/>
      <c r="L238" s="17"/>
      <c r="M238" s="17"/>
      <c r="N238" s="17"/>
      <c r="O238" s="18"/>
      <c r="P238" s="16"/>
      <c r="Q238" s="16"/>
      <c r="R238" s="19" t="str">
        <f t="shared" si="6"/>
        <v/>
      </c>
      <c r="S238" s="19" t="str">
        <f t="shared" si="7"/>
        <v/>
      </c>
      <c r="T238" s="17"/>
      <c r="U238" s="16"/>
      <c r="V238" s="16"/>
      <c r="W238" s="16"/>
      <c r="X238" s="16"/>
      <c r="Y238" s="16"/>
      <c r="Z238" s="16"/>
      <c r="AA238" s="16"/>
      <c r="AB238" s="20" t="str">
        <f>IF(A238="","",COUNTIF(Variants!$A$3:$A$1502,A238))</f>
        <v/>
      </c>
      <c r="AC238" s="21" t="str">
        <f>IF(A238="","",IF(IF(E238="","description, ","")&amp;IF(AND(O238="",COUNTIFS(Variants!$A$3:$A$1502,A238,Variants!$K$3:$K$1502,"&lt;&gt;")=0),"price, ","")&amp;IF(T238="","image, ","")&amp;IF(B238="","category, ","")&amp;IF(N(AB238)=0,"variant, ","")&amp;IF(AND(P238="Percentage",N(Q238)&gt;100),"discount over 100%, ","")&amp;IF(AND(P238="Fixed amount",O238&lt;&gt;"",N(Q238)&gt;N(O238)),"discount over price, ","")="","Ready","Missing: "&amp;LEFT(IF(E238="","description, ","")&amp;IF(AND(O238="",COUNTIFS(Variants!$A$3:$A$1502,A238,Variants!$K$3:$K$1502,"&lt;&gt;")=0),"price, ","")&amp;IF(T238="","image, ","")&amp;IF(B238="","category, ","")&amp;IF(N(AB238)=0,"variant, ","")&amp;IF(AND(P238="Percentage",N(Q238)&gt;100),"discount over 100%, ","")&amp;IF(AND(P238="Fixed amount",O238&lt;&gt;"",N(Q238)&gt;N(O238)),"discount over price, ",""),LEN(IF(E238="","description, ","")&amp;IF(AND(O238="",COUNTIFS(Variants!$A$3:$A$1502,A238,Variants!$K$3:$K$1502,"&lt;&gt;")=0),"price, ","")&amp;IF(T238="","image, ","")&amp;IF(B238="","category, ","")&amp;IF(N(AB238)=0,"variant, ","")&amp;IF(AND(P238="Percentage",N(Q238)&gt;100),"discount over 100%, ","")&amp;IF(AND(P238="Fixed amount",O238&lt;&gt;"",N(Q238)&gt;N(O238)),"discount over price, ",""))-2)))</f>
        <v/>
      </c>
    </row>
    <row r="239" spans="1:29" x14ac:dyDescent="0.3">
      <c r="A239" s="16"/>
      <c r="B239" s="16"/>
      <c r="C239" s="16"/>
      <c r="D239" s="17"/>
      <c r="E239" s="17"/>
      <c r="F239" s="16"/>
      <c r="G239" s="16"/>
      <c r="H239" s="16"/>
      <c r="I239" s="16"/>
      <c r="J239" s="16"/>
      <c r="K239" s="16"/>
      <c r="L239" s="17"/>
      <c r="M239" s="17"/>
      <c r="N239" s="17"/>
      <c r="O239" s="18"/>
      <c r="P239" s="16"/>
      <c r="Q239" s="16"/>
      <c r="R239" s="19" t="str">
        <f t="shared" si="6"/>
        <v/>
      </c>
      <c r="S239" s="19" t="str">
        <f t="shared" si="7"/>
        <v/>
      </c>
      <c r="T239" s="17"/>
      <c r="U239" s="16"/>
      <c r="V239" s="16"/>
      <c r="W239" s="16"/>
      <c r="X239" s="16"/>
      <c r="Y239" s="16"/>
      <c r="Z239" s="16"/>
      <c r="AA239" s="16"/>
      <c r="AB239" s="20" t="str">
        <f>IF(A239="","",COUNTIF(Variants!$A$3:$A$1502,A239))</f>
        <v/>
      </c>
      <c r="AC239" s="21" t="str">
        <f>IF(A239="","",IF(IF(E239="","description, ","")&amp;IF(AND(O239="",COUNTIFS(Variants!$A$3:$A$1502,A239,Variants!$K$3:$K$1502,"&lt;&gt;")=0),"price, ","")&amp;IF(T239="","image, ","")&amp;IF(B239="","category, ","")&amp;IF(N(AB239)=0,"variant, ","")&amp;IF(AND(P239="Percentage",N(Q239)&gt;100),"discount over 100%, ","")&amp;IF(AND(P239="Fixed amount",O239&lt;&gt;"",N(Q239)&gt;N(O239)),"discount over price, ","")="","Ready","Missing: "&amp;LEFT(IF(E239="","description, ","")&amp;IF(AND(O239="",COUNTIFS(Variants!$A$3:$A$1502,A239,Variants!$K$3:$K$1502,"&lt;&gt;")=0),"price, ","")&amp;IF(T239="","image, ","")&amp;IF(B239="","category, ","")&amp;IF(N(AB239)=0,"variant, ","")&amp;IF(AND(P239="Percentage",N(Q239)&gt;100),"discount over 100%, ","")&amp;IF(AND(P239="Fixed amount",O239&lt;&gt;"",N(Q239)&gt;N(O239)),"discount over price, ",""),LEN(IF(E239="","description, ","")&amp;IF(AND(O239="",COUNTIFS(Variants!$A$3:$A$1502,A239,Variants!$K$3:$K$1502,"&lt;&gt;")=0),"price, ","")&amp;IF(T239="","image, ","")&amp;IF(B239="","category, ","")&amp;IF(N(AB239)=0,"variant, ","")&amp;IF(AND(P239="Percentage",N(Q239)&gt;100),"discount over 100%, ","")&amp;IF(AND(P239="Fixed amount",O239&lt;&gt;"",N(Q239)&gt;N(O239)),"discount over price, ",""))-2)))</f>
        <v/>
      </c>
    </row>
    <row r="240" spans="1:29" x14ac:dyDescent="0.3">
      <c r="A240" s="16"/>
      <c r="B240" s="16"/>
      <c r="C240" s="16"/>
      <c r="D240" s="17"/>
      <c r="E240" s="17"/>
      <c r="F240" s="16"/>
      <c r="G240" s="16"/>
      <c r="H240" s="16"/>
      <c r="I240" s="16"/>
      <c r="J240" s="16"/>
      <c r="K240" s="16"/>
      <c r="L240" s="17"/>
      <c r="M240" s="17"/>
      <c r="N240" s="17"/>
      <c r="O240" s="18"/>
      <c r="P240" s="16"/>
      <c r="Q240" s="16"/>
      <c r="R240" s="19" t="str">
        <f t="shared" si="6"/>
        <v/>
      </c>
      <c r="S240" s="19" t="str">
        <f t="shared" si="7"/>
        <v/>
      </c>
      <c r="T240" s="17"/>
      <c r="U240" s="16"/>
      <c r="V240" s="16"/>
      <c r="W240" s="16"/>
      <c r="X240" s="16"/>
      <c r="Y240" s="16"/>
      <c r="Z240" s="16"/>
      <c r="AA240" s="16"/>
      <c r="AB240" s="20" t="str">
        <f>IF(A240="","",COUNTIF(Variants!$A$3:$A$1502,A240))</f>
        <v/>
      </c>
      <c r="AC240" s="21" t="str">
        <f>IF(A240="","",IF(IF(E240="","description, ","")&amp;IF(AND(O240="",COUNTIFS(Variants!$A$3:$A$1502,A240,Variants!$K$3:$K$1502,"&lt;&gt;")=0),"price, ","")&amp;IF(T240="","image, ","")&amp;IF(B240="","category, ","")&amp;IF(N(AB240)=0,"variant, ","")&amp;IF(AND(P240="Percentage",N(Q240)&gt;100),"discount over 100%, ","")&amp;IF(AND(P240="Fixed amount",O240&lt;&gt;"",N(Q240)&gt;N(O240)),"discount over price, ","")="","Ready","Missing: "&amp;LEFT(IF(E240="","description, ","")&amp;IF(AND(O240="",COUNTIFS(Variants!$A$3:$A$1502,A240,Variants!$K$3:$K$1502,"&lt;&gt;")=0),"price, ","")&amp;IF(T240="","image, ","")&amp;IF(B240="","category, ","")&amp;IF(N(AB240)=0,"variant, ","")&amp;IF(AND(P240="Percentage",N(Q240)&gt;100),"discount over 100%, ","")&amp;IF(AND(P240="Fixed amount",O240&lt;&gt;"",N(Q240)&gt;N(O240)),"discount over price, ",""),LEN(IF(E240="","description, ","")&amp;IF(AND(O240="",COUNTIFS(Variants!$A$3:$A$1502,A240,Variants!$K$3:$K$1502,"&lt;&gt;")=0),"price, ","")&amp;IF(T240="","image, ","")&amp;IF(B240="","category, ","")&amp;IF(N(AB240)=0,"variant, ","")&amp;IF(AND(P240="Percentage",N(Q240)&gt;100),"discount over 100%, ","")&amp;IF(AND(P240="Fixed amount",O240&lt;&gt;"",N(Q240)&gt;N(O240)),"discount over price, ",""))-2)))</f>
        <v/>
      </c>
    </row>
    <row r="241" spans="1:29" x14ac:dyDescent="0.3">
      <c r="A241" s="16"/>
      <c r="B241" s="16"/>
      <c r="C241" s="16"/>
      <c r="D241" s="17"/>
      <c r="E241" s="17"/>
      <c r="F241" s="16"/>
      <c r="G241" s="16"/>
      <c r="H241" s="16"/>
      <c r="I241" s="16"/>
      <c r="J241" s="16"/>
      <c r="K241" s="16"/>
      <c r="L241" s="17"/>
      <c r="M241" s="17"/>
      <c r="N241" s="17"/>
      <c r="O241" s="18"/>
      <c r="P241" s="16"/>
      <c r="Q241" s="16"/>
      <c r="R241" s="19" t="str">
        <f t="shared" si="6"/>
        <v/>
      </c>
      <c r="S241" s="19" t="str">
        <f t="shared" si="7"/>
        <v/>
      </c>
      <c r="T241" s="17"/>
      <c r="U241" s="16"/>
      <c r="V241" s="16"/>
      <c r="W241" s="16"/>
      <c r="X241" s="16"/>
      <c r="Y241" s="16"/>
      <c r="Z241" s="16"/>
      <c r="AA241" s="16"/>
      <c r="AB241" s="20" t="str">
        <f>IF(A241="","",COUNTIF(Variants!$A$3:$A$1502,A241))</f>
        <v/>
      </c>
      <c r="AC241" s="21" t="str">
        <f>IF(A241="","",IF(IF(E241="","description, ","")&amp;IF(AND(O241="",COUNTIFS(Variants!$A$3:$A$1502,A241,Variants!$K$3:$K$1502,"&lt;&gt;")=0),"price, ","")&amp;IF(T241="","image, ","")&amp;IF(B241="","category, ","")&amp;IF(N(AB241)=0,"variant, ","")&amp;IF(AND(P241="Percentage",N(Q241)&gt;100),"discount over 100%, ","")&amp;IF(AND(P241="Fixed amount",O241&lt;&gt;"",N(Q241)&gt;N(O241)),"discount over price, ","")="","Ready","Missing: "&amp;LEFT(IF(E241="","description, ","")&amp;IF(AND(O241="",COUNTIFS(Variants!$A$3:$A$1502,A241,Variants!$K$3:$K$1502,"&lt;&gt;")=0),"price, ","")&amp;IF(T241="","image, ","")&amp;IF(B241="","category, ","")&amp;IF(N(AB241)=0,"variant, ","")&amp;IF(AND(P241="Percentage",N(Q241)&gt;100),"discount over 100%, ","")&amp;IF(AND(P241="Fixed amount",O241&lt;&gt;"",N(Q241)&gt;N(O241)),"discount over price, ",""),LEN(IF(E241="","description, ","")&amp;IF(AND(O241="",COUNTIFS(Variants!$A$3:$A$1502,A241,Variants!$K$3:$K$1502,"&lt;&gt;")=0),"price, ","")&amp;IF(T241="","image, ","")&amp;IF(B241="","category, ","")&amp;IF(N(AB241)=0,"variant, ","")&amp;IF(AND(P241="Percentage",N(Q241)&gt;100),"discount over 100%, ","")&amp;IF(AND(P241="Fixed amount",O241&lt;&gt;"",N(Q241)&gt;N(O241)),"discount over price, ",""))-2)))</f>
        <v/>
      </c>
    </row>
    <row r="242" spans="1:29" x14ac:dyDescent="0.3">
      <c r="A242" s="16"/>
      <c r="B242" s="16"/>
      <c r="C242" s="16"/>
      <c r="D242" s="17"/>
      <c r="E242" s="17"/>
      <c r="F242" s="16"/>
      <c r="G242" s="16"/>
      <c r="H242" s="16"/>
      <c r="I242" s="16"/>
      <c r="J242" s="16"/>
      <c r="K242" s="16"/>
      <c r="L242" s="17"/>
      <c r="M242" s="17"/>
      <c r="N242" s="17"/>
      <c r="O242" s="18"/>
      <c r="P242" s="16"/>
      <c r="Q242" s="16"/>
      <c r="R242" s="19" t="str">
        <f t="shared" si="6"/>
        <v/>
      </c>
      <c r="S242" s="19" t="str">
        <f t="shared" si="7"/>
        <v/>
      </c>
      <c r="T242" s="17"/>
      <c r="U242" s="16"/>
      <c r="V242" s="16"/>
      <c r="W242" s="16"/>
      <c r="X242" s="16"/>
      <c r="Y242" s="16"/>
      <c r="Z242" s="16"/>
      <c r="AA242" s="16"/>
      <c r="AB242" s="20" t="str">
        <f>IF(A242="","",COUNTIF(Variants!$A$3:$A$1502,A242))</f>
        <v/>
      </c>
      <c r="AC242" s="21" t="str">
        <f>IF(A242="","",IF(IF(E242="","description, ","")&amp;IF(AND(O242="",COUNTIFS(Variants!$A$3:$A$1502,A242,Variants!$K$3:$K$1502,"&lt;&gt;")=0),"price, ","")&amp;IF(T242="","image, ","")&amp;IF(B242="","category, ","")&amp;IF(N(AB242)=0,"variant, ","")&amp;IF(AND(P242="Percentage",N(Q242)&gt;100),"discount over 100%, ","")&amp;IF(AND(P242="Fixed amount",O242&lt;&gt;"",N(Q242)&gt;N(O242)),"discount over price, ","")="","Ready","Missing: "&amp;LEFT(IF(E242="","description, ","")&amp;IF(AND(O242="",COUNTIFS(Variants!$A$3:$A$1502,A242,Variants!$K$3:$K$1502,"&lt;&gt;")=0),"price, ","")&amp;IF(T242="","image, ","")&amp;IF(B242="","category, ","")&amp;IF(N(AB242)=0,"variant, ","")&amp;IF(AND(P242="Percentage",N(Q242)&gt;100),"discount over 100%, ","")&amp;IF(AND(P242="Fixed amount",O242&lt;&gt;"",N(Q242)&gt;N(O242)),"discount over price, ",""),LEN(IF(E242="","description, ","")&amp;IF(AND(O242="",COUNTIFS(Variants!$A$3:$A$1502,A242,Variants!$K$3:$K$1502,"&lt;&gt;")=0),"price, ","")&amp;IF(T242="","image, ","")&amp;IF(B242="","category, ","")&amp;IF(N(AB242)=0,"variant, ","")&amp;IF(AND(P242="Percentage",N(Q242)&gt;100),"discount over 100%, ","")&amp;IF(AND(P242="Fixed amount",O242&lt;&gt;"",N(Q242)&gt;N(O242)),"discount over price, ",""))-2)))</f>
        <v/>
      </c>
    </row>
    <row r="243" spans="1:29" x14ac:dyDescent="0.3">
      <c r="A243" s="16"/>
      <c r="B243" s="16"/>
      <c r="C243" s="16"/>
      <c r="D243" s="17"/>
      <c r="E243" s="17"/>
      <c r="F243" s="16"/>
      <c r="G243" s="16"/>
      <c r="H243" s="16"/>
      <c r="I243" s="16"/>
      <c r="J243" s="16"/>
      <c r="K243" s="16"/>
      <c r="L243" s="17"/>
      <c r="M243" s="17"/>
      <c r="N243" s="17"/>
      <c r="O243" s="18"/>
      <c r="P243" s="16"/>
      <c r="Q243" s="16"/>
      <c r="R243" s="19" t="str">
        <f t="shared" si="6"/>
        <v/>
      </c>
      <c r="S243" s="19" t="str">
        <f t="shared" si="7"/>
        <v/>
      </c>
      <c r="T243" s="17"/>
      <c r="U243" s="16"/>
      <c r="V243" s="16"/>
      <c r="W243" s="16"/>
      <c r="X243" s="16"/>
      <c r="Y243" s="16"/>
      <c r="Z243" s="16"/>
      <c r="AA243" s="16"/>
      <c r="AB243" s="20" t="str">
        <f>IF(A243="","",COUNTIF(Variants!$A$3:$A$1502,A243))</f>
        <v/>
      </c>
      <c r="AC243" s="21" t="str">
        <f>IF(A243="","",IF(IF(E243="","description, ","")&amp;IF(AND(O243="",COUNTIFS(Variants!$A$3:$A$1502,A243,Variants!$K$3:$K$1502,"&lt;&gt;")=0),"price, ","")&amp;IF(T243="","image, ","")&amp;IF(B243="","category, ","")&amp;IF(N(AB243)=0,"variant, ","")&amp;IF(AND(P243="Percentage",N(Q243)&gt;100),"discount over 100%, ","")&amp;IF(AND(P243="Fixed amount",O243&lt;&gt;"",N(Q243)&gt;N(O243)),"discount over price, ","")="","Ready","Missing: "&amp;LEFT(IF(E243="","description, ","")&amp;IF(AND(O243="",COUNTIFS(Variants!$A$3:$A$1502,A243,Variants!$K$3:$K$1502,"&lt;&gt;")=0),"price, ","")&amp;IF(T243="","image, ","")&amp;IF(B243="","category, ","")&amp;IF(N(AB243)=0,"variant, ","")&amp;IF(AND(P243="Percentage",N(Q243)&gt;100),"discount over 100%, ","")&amp;IF(AND(P243="Fixed amount",O243&lt;&gt;"",N(Q243)&gt;N(O243)),"discount over price, ",""),LEN(IF(E243="","description, ","")&amp;IF(AND(O243="",COUNTIFS(Variants!$A$3:$A$1502,A243,Variants!$K$3:$K$1502,"&lt;&gt;")=0),"price, ","")&amp;IF(T243="","image, ","")&amp;IF(B243="","category, ","")&amp;IF(N(AB243)=0,"variant, ","")&amp;IF(AND(P243="Percentage",N(Q243)&gt;100),"discount over 100%, ","")&amp;IF(AND(P243="Fixed amount",O243&lt;&gt;"",N(Q243)&gt;N(O243)),"discount over price, ",""))-2)))</f>
        <v/>
      </c>
    </row>
    <row r="244" spans="1:29" x14ac:dyDescent="0.3">
      <c r="A244" s="16"/>
      <c r="B244" s="16"/>
      <c r="C244" s="16"/>
      <c r="D244" s="17"/>
      <c r="E244" s="17"/>
      <c r="F244" s="16"/>
      <c r="G244" s="16"/>
      <c r="H244" s="16"/>
      <c r="I244" s="16"/>
      <c r="J244" s="16"/>
      <c r="K244" s="16"/>
      <c r="L244" s="17"/>
      <c r="M244" s="17"/>
      <c r="N244" s="17"/>
      <c r="O244" s="18"/>
      <c r="P244" s="16"/>
      <c r="Q244" s="16"/>
      <c r="R244" s="19" t="str">
        <f t="shared" si="6"/>
        <v/>
      </c>
      <c r="S244" s="19" t="str">
        <f t="shared" si="7"/>
        <v/>
      </c>
      <c r="T244" s="17"/>
      <c r="U244" s="16"/>
      <c r="V244" s="16"/>
      <c r="W244" s="16"/>
      <c r="X244" s="16"/>
      <c r="Y244" s="16"/>
      <c r="Z244" s="16"/>
      <c r="AA244" s="16"/>
      <c r="AB244" s="20" t="str">
        <f>IF(A244="","",COUNTIF(Variants!$A$3:$A$1502,A244))</f>
        <v/>
      </c>
      <c r="AC244" s="21" t="str">
        <f>IF(A244="","",IF(IF(E244="","description, ","")&amp;IF(AND(O244="",COUNTIFS(Variants!$A$3:$A$1502,A244,Variants!$K$3:$K$1502,"&lt;&gt;")=0),"price, ","")&amp;IF(T244="","image, ","")&amp;IF(B244="","category, ","")&amp;IF(N(AB244)=0,"variant, ","")&amp;IF(AND(P244="Percentage",N(Q244)&gt;100),"discount over 100%, ","")&amp;IF(AND(P244="Fixed amount",O244&lt;&gt;"",N(Q244)&gt;N(O244)),"discount over price, ","")="","Ready","Missing: "&amp;LEFT(IF(E244="","description, ","")&amp;IF(AND(O244="",COUNTIFS(Variants!$A$3:$A$1502,A244,Variants!$K$3:$K$1502,"&lt;&gt;")=0),"price, ","")&amp;IF(T244="","image, ","")&amp;IF(B244="","category, ","")&amp;IF(N(AB244)=0,"variant, ","")&amp;IF(AND(P244="Percentage",N(Q244)&gt;100),"discount over 100%, ","")&amp;IF(AND(P244="Fixed amount",O244&lt;&gt;"",N(Q244)&gt;N(O244)),"discount over price, ",""),LEN(IF(E244="","description, ","")&amp;IF(AND(O244="",COUNTIFS(Variants!$A$3:$A$1502,A244,Variants!$K$3:$K$1502,"&lt;&gt;")=0),"price, ","")&amp;IF(T244="","image, ","")&amp;IF(B244="","category, ","")&amp;IF(N(AB244)=0,"variant, ","")&amp;IF(AND(P244="Percentage",N(Q244)&gt;100),"discount over 100%, ","")&amp;IF(AND(P244="Fixed amount",O244&lt;&gt;"",N(Q244)&gt;N(O244)),"discount over price, ",""))-2)))</f>
        <v/>
      </c>
    </row>
    <row r="245" spans="1:29" x14ac:dyDescent="0.3">
      <c r="A245" s="16"/>
      <c r="B245" s="16"/>
      <c r="C245" s="16"/>
      <c r="D245" s="17"/>
      <c r="E245" s="17"/>
      <c r="F245" s="16"/>
      <c r="G245" s="16"/>
      <c r="H245" s="16"/>
      <c r="I245" s="16"/>
      <c r="J245" s="16"/>
      <c r="K245" s="16"/>
      <c r="L245" s="17"/>
      <c r="M245" s="17"/>
      <c r="N245" s="17"/>
      <c r="O245" s="18"/>
      <c r="P245" s="16"/>
      <c r="Q245" s="16"/>
      <c r="R245" s="19" t="str">
        <f t="shared" si="6"/>
        <v/>
      </c>
      <c r="S245" s="19" t="str">
        <f t="shared" si="7"/>
        <v/>
      </c>
      <c r="T245" s="17"/>
      <c r="U245" s="16"/>
      <c r="V245" s="16"/>
      <c r="W245" s="16"/>
      <c r="X245" s="16"/>
      <c r="Y245" s="16"/>
      <c r="Z245" s="16"/>
      <c r="AA245" s="16"/>
      <c r="AB245" s="20" t="str">
        <f>IF(A245="","",COUNTIF(Variants!$A$3:$A$1502,A245))</f>
        <v/>
      </c>
      <c r="AC245" s="21" t="str">
        <f>IF(A245="","",IF(IF(E245="","description, ","")&amp;IF(AND(O245="",COUNTIFS(Variants!$A$3:$A$1502,A245,Variants!$K$3:$K$1502,"&lt;&gt;")=0),"price, ","")&amp;IF(T245="","image, ","")&amp;IF(B245="","category, ","")&amp;IF(N(AB245)=0,"variant, ","")&amp;IF(AND(P245="Percentage",N(Q245)&gt;100),"discount over 100%, ","")&amp;IF(AND(P245="Fixed amount",O245&lt;&gt;"",N(Q245)&gt;N(O245)),"discount over price, ","")="","Ready","Missing: "&amp;LEFT(IF(E245="","description, ","")&amp;IF(AND(O245="",COUNTIFS(Variants!$A$3:$A$1502,A245,Variants!$K$3:$K$1502,"&lt;&gt;")=0),"price, ","")&amp;IF(T245="","image, ","")&amp;IF(B245="","category, ","")&amp;IF(N(AB245)=0,"variant, ","")&amp;IF(AND(P245="Percentage",N(Q245)&gt;100),"discount over 100%, ","")&amp;IF(AND(P245="Fixed amount",O245&lt;&gt;"",N(Q245)&gt;N(O245)),"discount over price, ",""),LEN(IF(E245="","description, ","")&amp;IF(AND(O245="",COUNTIFS(Variants!$A$3:$A$1502,A245,Variants!$K$3:$K$1502,"&lt;&gt;")=0),"price, ","")&amp;IF(T245="","image, ","")&amp;IF(B245="","category, ","")&amp;IF(N(AB245)=0,"variant, ","")&amp;IF(AND(P245="Percentage",N(Q245)&gt;100),"discount over 100%, ","")&amp;IF(AND(P245="Fixed amount",O245&lt;&gt;"",N(Q245)&gt;N(O245)),"discount over price, ",""))-2)))</f>
        <v/>
      </c>
    </row>
    <row r="246" spans="1:29" x14ac:dyDescent="0.3">
      <c r="A246" s="16"/>
      <c r="B246" s="16"/>
      <c r="C246" s="16"/>
      <c r="D246" s="17"/>
      <c r="E246" s="17"/>
      <c r="F246" s="16"/>
      <c r="G246" s="16"/>
      <c r="H246" s="16"/>
      <c r="I246" s="16"/>
      <c r="J246" s="16"/>
      <c r="K246" s="16"/>
      <c r="L246" s="17"/>
      <c r="M246" s="17"/>
      <c r="N246" s="17"/>
      <c r="O246" s="18"/>
      <c r="P246" s="16"/>
      <c r="Q246" s="16"/>
      <c r="R246" s="19" t="str">
        <f t="shared" si="6"/>
        <v/>
      </c>
      <c r="S246" s="19" t="str">
        <f t="shared" si="7"/>
        <v/>
      </c>
      <c r="T246" s="17"/>
      <c r="U246" s="16"/>
      <c r="V246" s="16"/>
      <c r="W246" s="16"/>
      <c r="X246" s="16"/>
      <c r="Y246" s="16"/>
      <c r="Z246" s="16"/>
      <c r="AA246" s="16"/>
      <c r="AB246" s="20" t="str">
        <f>IF(A246="","",COUNTIF(Variants!$A$3:$A$1502,A246))</f>
        <v/>
      </c>
      <c r="AC246" s="21" t="str">
        <f>IF(A246="","",IF(IF(E246="","description, ","")&amp;IF(AND(O246="",COUNTIFS(Variants!$A$3:$A$1502,A246,Variants!$K$3:$K$1502,"&lt;&gt;")=0),"price, ","")&amp;IF(T246="","image, ","")&amp;IF(B246="","category, ","")&amp;IF(N(AB246)=0,"variant, ","")&amp;IF(AND(P246="Percentage",N(Q246)&gt;100),"discount over 100%, ","")&amp;IF(AND(P246="Fixed amount",O246&lt;&gt;"",N(Q246)&gt;N(O246)),"discount over price, ","")="","Ready","Missing: "&amp;LEFT(IF(E246="","description, ","")&amp;IF(AND(O246="",COUNTIFS(Variants!$A$3:$A$1502,A246,Variants!$K$3:$K$1502,"&lt;&gt;")=0),"price, ","")&amp;IF(T246="","image, ","")&amp;IF(B246="","category, ","")&amp;IF(N(AB246)=0,"variant, ","")&amp;IF(AND(P246="Percentage",N(Q246)&gt;100),"discount over 100%, ","")&amp;IF(AND(P246="Fixed amount",O246&lt;&gt;"",N(Q246)&gt;N(O246)),"discount over price, ",""),LEN(IF(E246="","description, ","")&amp;IF(AND(O246="",COUNTIFS(Variants!$A$3:$A$1502,A246,Variants!$K$3:$K$1502,"&lt;&gt;")=0),"price, ","")&amp;IF(T246="","image, ","")&amp;IF(B246="","category, ","")&amp;IF(N(AB246)=0,"variant, ","")&amp;IF(AND(P246="Percentage",N(Q246)&gt;100),"discount over 100%, ","")&amp;IF(AND(P246="Fixed amount",O246&lt;&gt;"",N(Q246)&gt;N(O246)),"discount over price, ",""))-2)))</f>
        <v/>
      </c>
    </row>
    <row r="247" spans="1:29" x14ac:dyDescent="0.3">
      <c r="A247" s="16"/>
      <c r="B247" s="16"/>
      <c r="C247" s="16"/>
      <c r="D247" s="17"/>
      <c r="E247" s="17"/>
      <c r="F247" s="16"/>
      <c r="G247" s="16"/>
      <c r="H247" s="16"/>
      <c r="I247" s="16"/>
      <c r="J247" s="16"/>
      <c r="K247" s="16"/>
      <c r="L247" s="17"/>
      <c r="M247" s="17"/>
      <c r="N247" s="17"/>
      <c r="O247" s="18"/>
      <c r="P247" s="16"/>
      <c r="Q247" s="16"/>
      <c r="R247" s="19" t="str">
        <f t="shared" si="6"/>
        <v/>
      </c>
      <c r="S247" s="19" t="str">
        <f t="shared" si="7"/>
        <v/>
      </c>
      <c r="T247" s="17"/>
      <c r="U247" s="16"/>
      <c r="V247" s="16"/>
      <c r="W247" s="16"/>
      <c r="X247" s="16"/>
      <c r="Y247" s="16"/>
      <c r="Z247" s="16"/>
      <c r="AA247" s="16"/>
      <c r="AB247" s="20" t="str">
        <f>IF(A247="","",COUNTIF(Variants!$A$3:$A$1502,A247))</f>
        <v/>
      </c>
      <c r="AC247" s="21" t="str">
        <f>IF(A247="","",IF(IF(E247="","description, ","")&amp;IF(AND(O247="",COUNTIFS(Variants!$A$3:$A$1502,A247,Variants!$K$3:$K$1502,"&lt;&gt;")=0),"price, ","")&amp;IF(T247="","image, ","")&amp;IF(B247="","category, ","")&amp;IF(N(AB247)=0,"variant, ","")&amp;IF(AND(P247="Percentage",N(Q247)&gt;100),"discount over 100%, ","")&amp;IF(AND(P247="Fixed amount",O247&lt;&gt;"",N(Q247)&gt;N(O247)),"discount over price, ","")="","Ready","Missing: "&amp;LEFT(IF(E247="","description, ","")&amp;IF(AND(O247="",COUNTIFS(Variants!$A$3:$A$1502,A247,Variants!$K$3:$K$1502,"&lt;&gt;")=0),"price, ","")&amp;IF(T247="","image, ","")&amp;IF(B247="","category, ","")&amp;IF(N(AB247)=0,"variant, ","")&amp;IF(AND(P247="Percentage",N(Q247)&gt;100),"discount over 100%, ","")&amp;IF(AND(P247="Fixed amount",O247&lt;&gt;"",N(Q247)&gt;N(O247)),"discount over price, ",""),LEN(IF(E247="","description, ","")&amp;IF(AND(O247="",COUNTIFS(Variants!$A$3:$A$1502,A247,Variants!$K$3:$K$1502,"&lt;&gt;")=0),"price, ","")&amp;IF(T247="","image, ","")&amp;IF(B247="","category, ","")&amp;IF(N(AB247)=0,"variant, ","")&amp;IF(AND(P247="Percentage",N(Q247)&gt;100),"discount over 100%, ","")&amp;IF(AND(P247="Fixed amount",O247&lt;&gt;"",N(Q247)&gt;N(O247)),"discount over price, ",""))-2)))</f>
        <v/>
      </c>
    </row>
    <row r="248" spans="1:29" x14ac:dyDescent="0.3">
      <c r="A248" s="16"/>
      <c r="B248" s="16"/>
      <c r="C248" s="16"/>
      <c r="D248" s="17"/>
      <c r="E248" s="17"/>
      <c r="F248" s="16"/>
      <c r="G248" s="16"/>
      <c r="H248" s="16"/>
      <c r="I248" s="16"/>
      <c r="J248" s="16"/>
      <c r="K248" s="16"/>
      <c r="L248" s="17"/>
      <c r="M248" s="17"/>
      <c r="N248" s="17"/>
      <c r="O248" s="18"/>
      <c r="P248" s="16"/>
      <c r="Q248" s="16"/>
      <c r="R248" s="19" t="str">
        <f t="shared" si="6"/>
        <v/>
      </c>
      <c r="S248" s="19" t="str">
        <f t="shared" si="7"/>
        <v/>
      </c>
      <c r="T248" s="17"/>
      <c r="U248" s="16"/>
      <c r="V248" s="16"/>
      <c r="W248" s="16"/>
      <c r="X248" s="16"/>
      <c r="Y248" s="16"/>
      <c r="Z248" s="16"/>
      <c r="AA248" s="16"/>
      <c r="AB248" s="20" t="str">
        <f>IF(A248="","",COUNTIF(Variants!$A$3:$A$1502,A248))</f>
        <v/>
      </c>
      <c r="AC248" s="21" t="str">
        <f>IF(A248="","",IF(IF(E248="","description, ","")&amp;IF(AND(O248="",COUNTIFS(Variants!$A$3:$A$1502,A248,Variants!$K$3:$K$1502,"&lt;&gt;")=0),"price, ","")&amp;IF(T248="","image, ","")&amp;IF(B248="","category, ","")&amp;IF(N(AB248)=0,"variant, ","")&amp;IF(AND(P248="Percentage",N(Q248)&gt;100),"discount over 100%, ","")&amp;IF(AND(P248="Fixed amount",O248&lt;&gt;"",N(Q248)&gt;N(O248)),"discount over price, ","")="","Ready","Missing: "&amp;LEFT(IF(E248="","description, ","")&amp;IF(AND(O248="",COUNTIFS(Variants!$A$3:$A$1502,A248,Variants!$K$3:$K$1502,"&lt;&gt;")=0),"price, ","")&amp;IF(T248="","image, ","")&amp;IF(B248="","category, ","")&amp;IF(N(AB248)=0,"variant, ","")&amp;IF(AND(P248="Percentage",N(Q248)&gt;100),"discount over 100%, ","")&amp;IF(AND(P248="Fixed amount",O248&lt;&gt;"",N(Q248)&gt;N(O248)),"discount over price, ",""),LEN(IF(E248="","description, ","")&amp;IF(AND(O248="",COUNTIFS(Variants!$A$3:$A$1502,A248,Variants!$K$3:$K$1502,"&lt;&gt;")=0),"price, ","")&amp;IF(T248="","image, ","")&amp;IF(B248="","category, ","")&amp;IF(N(AB248)=0,"variant, ","")&amp;IF(AND(P248="Percentage",N(Q248)&gt;100),"discount over 100%, ","")&amp;IF(AND(P248="Fixed amount",O248&lt;&gt;"",N(Q248)&gt;N(O248)),"discount over price, ",""))-2)))</f>
        <v/>
      </c>
    </row>
    <row r="249" spans="1:29" x14ac:dyDescent="0.3">
      <c r="A249" s="16"/>
      <c r="B249" s="16"/>
      <c r="C249" s="16"/>
      <c r="D249" s="17"/>
      <c r="E249" s="17"/>
      <c r="F249" s="16"/>
      <c r="G249" s="16"/>
      <c r="H249" s="16"/>
      <c r="I249" s="16"/>
      <c r="J249" s="16"/>
      <c r="K249" s="16"/>
      <c r="L249" s="17"/>
      <c r="M249" s="17"/>
      <c r="N249" s="17"/>
      <c r="O249" s="18"/>
      <c r="P249" s="16"/>
      <c r="Q249" s="16"/>
      <c r="R249" s="19" t="str">
        <f t="shared" si="6"/>
        <v/>
      </c>
      <c r="S249" s="19" t="str">
        <f t="shared" si="7"/>
        <v/>
      </c>
      <c r="T249" s="17"/>
      <c r="U249" s="16"/>
      <c r="V249" s="16"/>
      <c r="W249" s="16"/>
      <c r="X249" s="16"/>
      <c r="Y249" s="16"/>
      <c r="Z249" s="16"/>
      <c r="AA249" s="16"/>
      <c r="AB249" s="20" t="str">
        <f>IF(A249="","",COUNTIF(Variants!$A$3:$A$1502,A249))</f>
        <v/>
      </c>
      <c r="AC249" s="21" t="str">
        <f>IF(A249="","",IF(IF(E249="","description, ","")&amp;IF(AND(O249="",COUNTIFS(Variants!$A$3:$A$1502,A249,Variants!$K$3:$K$1502,"&lt;&gt;")=0),"price, ","")&amp;IF(T249="","image, ","")&amp;IF(B249="","category, ","")&amp;IF(N(AB249)=0,"variant, ","")&amp;IF(AND(P249="Percentage",N(Q249)&gt;100),"discount over 100%, ","")&amp;IF(AND(P249="Fixed amount",O249&lt;&gt;"",N(Q249)&gt;N(O249)),"discount over price, ","")="","Ready","Missing: "&amp;LEFT(IF(E249="","description, ","")&amp;IF(AND(O249="",COUNTIFS(Variants!$A$3:$A$1502,A249,Variants!$K$3:$K$1502,"&lt;&gt;")=0),"price, ","")&amp;IF(T249="","image, ","")&amp;IF(B249="","category, ","")&amp;IF(N(AB249)=0,"variant, ","")&amp;IF(AND(P249="Percentage",N(Q249)&gt;100),"discount over 100%, ","")&amp;IF(AND(P249="Fixed amount",O249&lt;&gt;"",N(Q249)&gt;N(O249)),"discount over price, ",""),LEN(IF(E249="","description, ","")&amp;IF(AND(O249="",COUNTIFS(Variants!$A$3:$A$1502,A249,Variants!$K$3:$K$1502,"&lt;&gt;")=0),"price, ","")&amp;IF(T249="","image, ","")&amp;IF(B249="","category, ","")&amp;IF(N(AB249)=0,"variant, ","")&amp;IF(AND(P249="Percentage",N(Q249)&gt;100),"discount over 100%, ","")&amp;IF(AND(P249="Fixed amount",O249&lt;&gt;"",N(Q249)&gt;N(O249)),"discount over price, ",""))-2)))</f>
        <v/>
      </c>
    </row>
    <row r="250" spans="1:29" x14ac:dyDescent="0.3">
      <c r="A250" s="16"/>
      <c r="B250" s="16"/>
      <c r="C250" s="16"/>
      <c r="D250" s="17"/>
      <c r="E250" s="17"/>
      <c r="F250" s="16"/>
      <c r="G250" s="16"/>
      <c r="H250" s="16"/>
      <c r="I250" s="16"/>
      <c r="J250" s="16"/>
      <c r="K250" s="16"/>
      <c r="L250" s="17"/>
      <c r="M250" s="17"/>
      <c r="N250" s="17"/>
      <c r="O250" s="18"/>
      <c r="P250" s="16"/>
      <c r="Q250" s="16"/>
      <c r="R250" s="19" t="str">
        <f t="shared" si="6"/>
        <v/>
      </c>
      <c r="S250" s="19" t="str">
        <f t="shared" si="7"/>
        <v/>
      </c>
      <c r="T250" s="17"/>
      <c r="U250" s="16"/>
      <c r="V250" s="16"/>
      <c r="W250" s="16"/>
      <c r="X250" s="16"/>
      <c r="Y250" s="16"/>
      <c r="Z250" s="16"/>
      <c r="AA250" s="16"/>
      <c r="AB250" s="20" t="str">
        <f>IF(A250="","",COUNTIF(Variants!$A$3:$A$1502,A250))</f>
        <v/>
      </c>
      <c r="AC250" s="21" t="str">
        <f>IF(A250="","",IF(IF(E250="","description, ","")&amp;IF(AND(O250="",COUNTIFS(Variants!$A$3:$A$1502,A250,Variants!$K$3:$K$1502,"&lt;&gt;")=0),"price, ","")&amp;IF(T250="","image, ","")&amp;IF(B250="","category, ","")&amp;IF(N(AB250)=0,"variant, ","")&amp;IF(AND(P250="Percentage",N(Q250)&gt;100),"discount over 100%, ","")&amp;IF(AND(P250="Fixed amount",O250&lt;&gt;"",N(Q250)&gt;N(O250)),"discount over price, ","")="","Ready","Missing: "&amp;LEFT(IF(E250="","description, ","")&amp;IF(AND(O250="",COUNTIFS(Variants!$A$3:$A$1502,A250,Variants!$K$3:$K$1502,"&lt;&gt;")=0),"price, ","")&amp;IF(T250="","image, ","")&amp;IF(B250="","category, ","")&amp;IF(N(AB250)=0,"variant, ","")&amp;IF(AND(P250="Percentage",N(Q250)&gt;100),"discount over 100%, ","")&amp;IF(AND(P250="Fixed amount",O250&lt;&gt;"",N(Q250)&gt;N(O250)),"discount over price, ",""),LEN(IF(E250="","description, ","")&amp;IF(AND(O250="",COUNTIFS(Variants!$A$3:$A$1502,A250,Variants!$K$3:$K$1502,"&lt;&gt;")=0),"price, ","")&amp;IF(T250="","image, ","")&amp;IF(B250="","category, ","")&amp;IF(N(AB250)=0,"variant, ","")&amp;IF(AND(P250="Percentage",N(Q250)&gt;100),"discount over 100%, ","")&amp;IF(AND(P250="Fixed amount",O250&lt;&gt;"",N(Q250)&gt;N(O250)),"discount over price, ",""))-2)))</f>
        <v/>
      </c>
    </row>
    <row r="251" spans="1:29" x14ac:dyDescent="0.3">
      <c r="A251" s="16"/>
      <c r="B251" s="16"/>
      <c r="C251" s="16"/>
      <c r="D251" s="17"/>
      <c r="E251" s="17"/>
      <c r="F251" s="16"/>
      <c r="G251" s="16"/>
      <c r="H251" s="16"/>
      <c r="I251" s="16"/>
      <c r="J251" s="16"/>
      <c r="K251" s="16"/>
      <c r="L251" s="17"/>
      <c r="M251" s="17"/>
      <c r="N251" s="17"/>
      <c r="O251" s="18"/>
      <c r="P251" s="16"/>
      <c r="Q251" s="16"/>
      <c r="R251" s="19" t="str">
        <f t="shared" si="6"/>
        <v/>
      </c>
      <c r="S251" s="19" t="str">
        <f t="shared" si="7"/>
        <v/>
      </c>
      <c r="T251" s="17"/>
      <c r="U251" s="16"/>
      <c r="V251" s="16"/>
      <c r="W251" s="16"/>
      <c r="X251" s="16"/>
      <c r="Y251" s="16"/>
      <c r="Z251" s="16"/>
      <c r="AA251" s="16"/>
      <c r="AB251" s="20" t="str">
        <f>IF(A251="","",COUNTIF(Variants!$A$3:$A$1502,A251))</f>
        <v/>
      </c>
      <c r="AC251" s="21" t="str">
        <f>IF(A251="","",IF(IF(E251="","description, ","")&amp;IF(AND(O251="",COUNTIFS(Variants!$A$3:$A$1502,A251,Variants!$K$3:$K$1502,"&lt;&gt;")=0),"price, ","")&amp;IF(T251="","image, ","")&amp;IF(B251="","category, ","")&amp;IF(N(AB251)=0,"variant, ","")&amp;IF(AND(P251="Percentage",N(Q251)&gt;100),"discount over 100%, ","")&amp;IF(AND(P251="Fixed amount",O251&lt;&gt;"",N(Q251)&gt;N(O251)),"discount over price, ","")="","Ready","Missing: "&amp;LEFT(IF(E251="","description, ","")&amp;IF(AND(O251="",COUNTIFS(Variants!$A$3:$A$1502,A251,Variants!$K$3:$K$1502,"&lt;&gt;")=0),"price, ","")&amp;IF(T251="","image, ","")&amp;IF(B251="","category, ","")&amp;IF(N(AB251)=0,"variant, ","")&amp;IF(AND(P251="Percentage",N(Q251)&gt;100),"discount over 100%, ","")&amp;IF(AND(P251="Fixed amount",O251&lt;&gt;"",N(Q251)&gt;N(O251)),"discount over price, ",""),LEN(IF(E251="","description, ","")&amp;IF(AND(O251="",COUNTIFS(Variants!$A$3:$A$1502,A251,Variants!$K$3:$K$1502,"&lt;&gt;")=0),"price, ","")&amp;IF(T251="","image, ","")&amp;IF(B251="","category, ","")&amp;IF(N(AB251)=0,"variant, ","")&amp;IF(AND(P251="Percentage",N(Q251)&gt;100),"discount over 100%, ","")&amp;IF(AND(P251="Fixed amount",O251&lt;&gt;"",N(Q251)&gt;N(O251)),"discount over price, ",""))-2)))</f>
        <v/>
      </c>
    </row>
    <row r="252" spans="1:29" x14ac:dyDescent="0.3">
      <c r="A252" s="16"/>
      <c r="B252" s="16"/>
      <c r="C252" s="16"/>
      <c r="D252" s="17"/>
      <c r="E252" s="17"/>
      <c r="F252" s="16"/>
      <c r="G252" s="16"/>
      <c r="H252" s="16"/>
      <c r="I252" s="16"/>
      <c r="J252" s="16"/>
      <c r="K252" s="16"/>
      <c r="L252" s="17"/>
      <c r="M252" s="17"/>
      <c r="N252" s="17"/>
      <c r="O252" s="18"/>
      <c r="P252" s="16"/>
      <c r="Q252" s="16"/>
      <c r="R252" s="19" t="str">
        <f t="shared" si="6"/>
        <v/>
      </c>
      <c r="S252" s="19" t="str">
        <f t="shared" si="7"/>
        <v/>
      </c>
      <c r="T252" s="17"/>
      <c r="U252" s="16"/>
      <c r="V252" s="16"/>
      <c r="W252" s="16"/>
      <c r="X252" s="16"/>
      <c r="Y252" s="16"/>
      <c r="Z252" s="16"/>
      <c r="AA252" s="16"/>
      <c r="AB252" s="20" t="str">
        <f>IF(A252="","",COUNTIF(Variants!$A$3:$A$1502,A252))</f>
        <v/>
      </c>
      <c r="AC252" s="21" t="str">
        <f>IF(A252="","",IF(IF(E252="","description, ","")&amp;IF(AND(O252="",COUNTIFS(Variants!$A$3:$A$1502,A252,Variants!$K$3:$K$1502,"&lt;&gt;")=0),"price, ","")&amp;IF(T252="","image, ","")&amp;IF(B252="","category, ","")&amp;IF(N(AB252)=0,"variant, ","")&amp;IF(AND(P252="Percentage",N(Q252)&gt;100),"discount over 100%, ","")&amp;IF(AND(P252="Fixed amount",O252&lt;&gt;"",N(Q252)&gt;N(O252)),"discount over price, ","")="","Ready","Missing: "&amp;LEFT(IF(E252="","description, ","")&amp;IF(AND(O252="",COUNTIFS(Variants!$A$3:$A$1502,A252,Variants!$K$3:$K$1502,"&lt;&gt;")=0),"price, ","")&amp;IF(T252="","image, ","")&amp;IF(B252="","category, ","")&amp;IF(N(AB252)=0,"variant, ","")&amp;IF(AND(P252="Percentage",N(Q252)&gt;100),"discount over 100%, ","")&amp;IF(AND(P252="Fixed amount",O252&lt;&gt;"",N(Q252)&gt;N(O252)),"discount over price, ",""),LEN(IF(E252="","description, ","")&amp;IF(AND(O252="",COUNTIFS(Variants!$A$3:$A$1502,A252,Variants!$K$3:$K$1502,"&lt;&gt;")=0),"price, ","")&amp;IF(T252="","image, ","")&amp;IF(B252="","category, ","")&amp;IF(N(AB252)=0,"variant, ","")&amp;IF(AND(P252="Percentage",N(Q252)&gt;100),"discount over 100%, ","")&amp;IF(AND(P252="Fixed amount",O252&lt;&gt;"",N(Q252)&gt;N(O252)),"discount over price, ",""))-2)))</f>
        <v/>
      </c>
    </row>
    <row r="253" spans="1:29" x14ac:dyDescent="0.3">
      <c r="A253" s="16"/>
      <c r="B253" s="16"/>
      <c r="C253" s="16"/>
      <c r="D253" s="17"/>
      <c r="E253" s="17"/>
      <c r="F253" s="16"/>
      <c r="G253" s="16"/>
      <c r="H253" s="16"/>
      <c r="I253" s="16"/>
      <c r="J253" s="16"/>
      <c r="K253" s="16"/>
      <c r="L253" s="17"/>
      <c r="M253" s="17"/>
      <c r="N253" s="17"/>
      <c r="O253" s="18"/>
      <c r="P253" s="16"/>
      <c r="Q253" s="16"/>
      <c r="R253" s="19" t="str">
        <f t="shared" si="6"/>
        <v/>
      </c>
      <c r="S253" s="19" t="str">
        <f t="shared" si="7"/>
        <v/>
      </c>
      <c r="T253" s="17"/>
      <c r="U253" s="16"/>
      <c r="V253" s="16"/>
      <c r="W253" s="16"/>
      <c r="X253" s="16"/>
      <c r="Y253" s="16"/>
      <c r="Z253" s="16"/>
      <c r="AA253" s="16"/>
      <c r="AB253" s="20" t="str">
        <f>IF(A253="","",COUNTIF(Variants!$A$3:$A$1502,A253))</f>
        <v/>
      </c>
      <c r="AC253" s="21" t="str">
        <f>IF(A253="","",IF(IF(E253="","description, ","")&amp;IF(AND(O253="",COUNTIFS(Variants!$A$3:$A$1502,A253,Variants!$K$3:$K$1502,"&lt;&gt;")=0),"price, ","")&amp;IF(T253="","image, ","")&amp;IF(B253="","category, ","")&amp;IF(N(AB253)=0,"variant, ","")&amp;IF(AND(P253="Percentage",N(Q253)&gt;100),"discount over 100%, ","")&amp;IF(AND(P253="Fixed amount",O253&lt;&gt;"",N(Q253)&gt;N(O253)),"discount over price, ","")="","Ready","Missing: "&amp;LEFT(IF(E253="","description, ","")&amp;IF(AND(O253="",COUNTIFS(Variants!$A$3:$A$1502,A253,Variants!$K$3:$K$1502,"&lt;&gt;")=0),"price, ","")&amp;IF(T253="","image, ","")&amp;IF(B253="","category, ","")&amp;IF(N(AB253)=0,"variant, ","")&amp;IF(AND(P253="Percentage",N(Q253)&gt;100),"discount over 100%, ","")&amp;IF(AND(P253="Fixed amount",O253&lt;&gt;"",N(Q253)&gt;N(O253)),"discount over price, ",""),LEN(IF(E253="","description, ","")&amp;IF(AND(O253="",COUNTIFS(Variants!$A$3:$A$1502,A253,Variants!$K$3:$K$1502,"&lt;&gt;")=0),"price, ","")&amp;IF(T253="","image, ","")&amp;IF(B253="","category, ","")&amp;IF(N(AB253)=0,"variant, ","")&amp;IF(AND(P253="Percentage",N(Q253)&gt;100),"discount over 100%, ","")&amp;IF(AND(P253="Fixed amount",O253&lt;&gt;"",N(Q253)&gt;N(O253)),"discount over price, ",""))-2)))</f>
        <v/>
      </c>
    </row>
    <row r="254" spans="1:29" x14ac:dyDescent="0.3">
      <c r="A254" s="16"/>
      <c r="B254" s="16"/>
      <c r="C254" s="16"/>
      <c r="D254" s="17"/>
      <c r="E254" s="17"/>
      <c r="F254" s="16"/>
      <c r="G254" s="16"/>
      <c r="H254" s="16"/>
      <c r="I254" s="16"/>
      <c r="J254" s="16"/>
      <c r="K254" s="16"/>
      <c r="L254" s="17"/>
      <c r="M254" s="17"/>
      <c r="N254" s="17"/>
      <c r="O254" s="18"/>
      <c r="P254" s="16"/>
      <c r="Q254" s="16"/>
      <c r="R254" s="19" t="str">
        <f t="shared" si="6"/>
        <v/>
      </c>
      <c r="S254" s="19" t="str">
        <f t="shared" si="7"/>
        <v/>
      </c>
      <c r="T254" s="17"/>
      <c r="U254" s="16"/>
      <c r="V254" s="16"/>
      <c r="W254" s="16"/>
      <c r="X254" s="16"/>
      <c r="Y254" s="16"/>
      <c r="Z254" s="16"/>
      <c r="AA254" s="16"/>
      <c r="AB254" s="20" t="str">
        <f>IF(A254="","",COUNTIF(Variants!$A$3:$A$1502,A254))</f>
        <v/>
      </c>
      <c r="AC254" s="21" t="str">
        <f>IF(A254="","",IF(IF(E254="","description, ","")&amp;IF(AND(O254="",COUNTIFS(Variants!$A$3:$A$1502,A254,Variants!$K$3:$K$1502,"&lt;&gt;")=0),"price, ","")&amp;IF(T254="","image, ","")&amp;IF(B254="","category, ","")&amp;IF(N(AB254)=0,"variant, ","")&amp;IF(AND(P254="Percentage",N(Q254)&gt;100),"discount over 100%, ","")&amp;IF(AND(P254="Fixed amount",O254&lt;&gt;"",N(Q254)&gt;N(O254)),"discount over price, ","")="","Ready","Missing: "&amp;LEFT(IF(E254="","description, ","")&amp;IF(AND(O254="",COUNTIFS(Variants!$A$3:$A$1502,A254,Variants!$K$3:$K$1502,"&lt;&gt;")=0),"price, ","")&amp;IF(T254="","image, ","")&amp;IF(B254="","category, ","")&amp;IF(N(AB254)=0,"variant, ","")&amp;IF(AND(P254="Percentage",N(Q254)&gt;100),"discount over 100%, ","")&amp;IF(AND(P254="Fixed amount",O254&lt;&gt;"",N(Q254)&gt;N(O254)),"discount over price, ",""),LEN(IF(E254="","description, ","")&amp;IF(AND(O254="",COUNTIFS(Variants!$A$3:$A$1502,A254,Variants!$K$3:$K$1502,"&lt;&gt;")=0),"price, ","")&amp;IF(T254="","image, ","")&amp;IF(B254="","category, ","")&amp;IF(N(AB254)=0,"variant, ","")&amp;IF(AND(P254="Percentage",N(Q254)&gt;100),"discount over 100%, ","")&amp;IF(AND(P254="Fixed amount",O254&lt;&gt;"",N(Q254)&gt;N(O254)),"discount over price, ",""))-2)))</f>
        <v/>
      </c>
    </row>
    <row r="255" spans="1:29" x14ac:dyDescent="0.3">
      <c r="A255" s="16"/>
      <c r="B255" s="16"/>
      <c r="C255" s="16"/>
      <c r="D255" s="17"/>
      <c r="E255" s="17"/>
      <c r="F255" s="16"/>
      <c r="G255" s="16"/>
      <c r="H255" s="16"/>
      <c r="I255" s="16"/>
      <c r="J255" s="16"/>
      <c r="K255" s="16"/>
      <c r="L255" s="17"/>
      <c r="M255" s="17"/>
      <c r="N255" s="17"/>
      <c r="O255" s="18"/>
      <c r="P255" s="16"/>
      <c r="Q255" s="16"/>
      <c r="R255" s="19" t="str">
        <f t="shared" si="6"/>
        <v/>
      </c>
      <c r="S255" s="19" t="str">
        <f t="shared" si="7"/>
        <v/>
      </c>
      <c r="T255" s="17"/>
      <c r="U255" s="16"/>
      <c r="V255" s="16"/>
      <c r="W255" s="16"/>
      <c r="X255" s="16"/>
      <c r="Y255" s="16"/>
      <c r="Z255" s="16"/>
      <c r="AA255" s="16"/>
      <c r="AB255" s="20" t="str">
        <f>IF(A255="","",COUNTIF(Variants!$A$3:$A$1502,A255))</f>
        <v/>
      </c>
      <c r="AC255" s="21" t="str">
        <f>IF(A255="","",IF(IF(E255="","description, ","")&amp;IF(AND(O255="",COUNTIFS(Variants!$A$3:$A$1502,A255,Variants!$K$3:$K$1502,"&lt;&gt;")=0),"price, ","")&amp;IF(T255="","image, ","")&amp;IF(B255="","category, ","")&amp;IF(N(AB255)=0,"variant, ","")&amp;IF(AND(P255="Percentage",N(Q255)&gt;100),"discount over 100%, ","")&amp;IF(AND(P255="Fixed amount",O255&lt;&gt;"",N(Q255)&gt;N(O255)),"discount over price, ","")="","Ready","Missing: "&amp;LEFT(IF(E255="","description, ","")&amp;IF(AND(O255="",COUNTIFS(Variants!$A$3:$A$1502,A255,Variants!$K$3:$K$1502,"&lt;&gt;")=0),"price, ","")&amp;IF(T255="","image, ","")&amp;IF(B255="","category, ","")&amp;IF(N(AB255)=0,"variant, ","")&amp;IF(AND(P255="Percentage",N(Q255)&gt;100),"discount over 100%, ","")&amp;IF(AND(P255="Fixed amount",O255&lt;&gt;"",N(Q255)&gt;N(O255)),"discount over price, ",""),LEN(IF(E255="","description, ","")&amp;IF(AND(O255="",COUNTIFS(Variants!$A$3:$A$1502,A255,Variants!$K$3:$K$1502,"&lt;&gt;")=0),"price, ","")&amp;IF(T255="","image, ","")&amp;IF(B255="","category, ","")&amp;IF(N(AB255)=0,"variant, ","")&amp;IF(AND(P255="Percentage",N(Q255)&gt;100),"discount over 100%, ","")&amp;IF(AND(P255="Fixed amount",O255&lt;&gt;"",N(Q255)&gt;N(O255)),"discount over price, ",""))-2)))</f>
        <v/>
      </c>
    </row>
    <row r="256" spans="1:29" x14ac:dyDescent="0.3">
      <c r="A256" s="16"/>
      <c r="B256" s="16"/>
      <c r="C256" s="16"/>
      <c r="D256" s="17"/>
      <c r="E256" s="17"/>
      <c r="F256" s="16"/>
      <c r="G256" s="16"/>
      <c r="H256" s="16"/>
      <c r="I256" s="16"/>
      <c r="J256" s="16"/>
      <c r="K256" s="16"/>
      <c r="L256" s="17"/>
      <c r="M256" s="17"/>
      <c r="N256" s="17"/>
      <c r="O256" s="18"/>
      <c r="P256" s="16"/>
      <c r="Q256" s="16"/>
      <c r="R256" s="19" t="str">
        <f t="shared" si="6"/>
        <v/>
      </c>
      <c r="S256" s="19" t="str">
        <f t="shared" si="7"/>
        <v/>
      </c>
      <c r="T256" s="17"/>
      <c r="U256" s="16"/>
      <c r="V256" s="16"/>
      <c r="W256" s="16"/>
      <c r="X256" s="16"/>
      <c r="Y256" s="16"/>
      <c r="Z256" s="16"/>
      <c r="AA256" s="16"/>
      <c r="AB256" s="20" t="str">
        <f>IF(A256="","",COUNTIF(Variants!$A$3:$A$1502,A256))</f>
        <v/>
      </c>
      <c r="AC256" s="21" t="str">
        <f>IF(A256="","",IF(IF(E256="","description, ","")&amp;IF(AND(O256="",COUNTIFS(Variants!$A$3:$A$1502,A256,Variants!$K$3:$K$1502,"&lt;&gt;")=0),"price, ","")&amp;IF(T256="","image, ","")&amp;IF(B256="","category, ","")&amp;IF(N(AB256)=0,"variant, ","")&amp;IF(AND(P256="Percentage",N(Q256)&gt;100),"discount over 100%, ","")&amp;IF(AND(P256="Fixed amount",O256&lt;&gt;"",N(Q256)&gt;N(O256)),"discount over price, ","")="","Ready","Missing: "&amp;LEFT(IF(E256="","description, ","")&amp;IF(AND(O256="",COUNTIFS(Variants!$A$3:$A$1502,A256,Variants!$K$3:$K$1502,"&lt;&gt;")=0),"price, ","")&amp;IF(T256="","image, ","")&amp;IF(B256="","category, ","")&amp;IF(N(AB256)=0,"variant, ","")&amp;IF(AND(P256="Percentage",N(Q256)&gt;100),"discount over 100%, ","")&amp;IF(AND(P256="Fixed amount",O256&lt;&gt;"",N(Q256)&gt;N(O256)),"discount over price, ",""),LEN(IF(E256="","description, ","")&amp;IF(AND(O256="",COUNTIFS(Variants!$A$3:$A$1502,A256,Variants!$K$3:$K$1502,"&lt;&gt;")=0),"price, ","")&amp;IF(T256="","image, ","")&amp;IF(B256="","category, ","")&amp;IF(N(AB256)=0,"variant, ","")&amp;IF(AND(P256="Percentage",N(Q256)&gt;100),"discount over 100%, ","")&amp;IF(AND(P256="Fixed amount",O256&lt;&gt;"",N(Q256)&gt;N(O256)),"discount over price, ",""))-2)))</f>
        <v/>
      </c>
    </row>
    <row r="257" spans="1:29" x14ac:dyDescent="0.3">
      <c r="A257" s="16"/>
      <c r="B257" s="16"/>
      <c r="C257" s="16"/>
      <c r="D257" s="17"/>
      <c r="E257" s="17"/>
      <c r="F257" s="16"/>
      <c r="G257" s="16"/>
      <c r="H257" s="16"/>
      <c r="I257" s="16"/>
      <c r="J257" s="16"/>
      <c r="K257" s="16"/>
      <c r="L257" s="17"/>
      <c r="M257" s="17"/>
      <c r="N257" s="17"/>
      <c r="O257" s="18"/>
      <c r="P257" s="16"/>
      <c r="Q257" s="16"/>
      <c r="R257" s="19" t="str">
        <f t="shared" si="6"/>
        <v/>
      </c>
      <c r="S257" s="19" t="str">
        <f t="shared" si="7"/>
        <v/>
      </c>
      <c r="T257" s="17"/>
      <c r="U257" s="16"/>
      <c r="V257" s="16"/>
      <c r="W257" s="16"/>
      <c r="X257" s="16"/>
      <c r="Y257" s="16"/>
      <c r="Z257" s="16"/>
      <c r="AA257" s="16"/>
      <c r="AB257" s="20" t="str">
        <f>IF(A257="","",COUNTIF(Variants!$A$3:$A$1502,A257))</f>
        <v/>
      </c>
      <c r="AC257" s="21" t="str">
        <f>IF(A257="","",IF(IF(E257="","description, ","")&amp;IF(AND(O257="",COUNTIFS(Variants!$A$3:$A$1502,A257,Variants!$K$3:$K$1502,"&lt;&gt;")=0),"price, ","")&amp;IF(T257="","image, ","")&amp;IF(B257="","category, ","")&amp;IF(N(AB257)=0,"variant, ","")&amp;IF(AND(P257="Percentage",N(Q257)&gt;100),"discount over 100%, ","")&amp;IF(AND(P257="Fixed amount",O257&lt;&gt;"",N(Q257)&gt;N(O257)),"discount over price, ","")="","Ready","Missing: "&amp;LEFT(IF(E257="","description, ","")&amp;IF(AND(O257="",COUNTIFS(Variants!$A$3:$A$1502,A257,Variants!$K$3:$K$1502,"&lt;&gt;")=0),"price, ","")&amp;IF(T257="","image, ","")&amp;IF(B257="","category, ","")&amp;IF(N(AB257)=0,"variant, ","")&amp;IF(AND(P257="Percentage",N(Q257)&gt;100),"discount over 100%, ","")&amp;IF(AND(P257="Fixed amount",O257&lt;&gt;"",N(Q257)&gt;N(O257)),"discount over price, ",""),LEN(IF(E257="","description, ","")&amp;IF(AND(O257="",COUNTIFS(Variants!$A$3:$A$1502,A257,Variants!$K$3:$K$1502,"&lt;&gt;")=0),"price, ","")&amp;IF(T257="","image, ","")&amp;IF(B257="","category, ","")&amp;IF(N(AB257)=0,"variant, ","")&amp;IF(AND(P257="Percentage",N(Q257)&gt;100),"discount over 100%, ","")&amp;IF(AND(P257="Fixed amount",O257&lt;&gt;"",N(Q257)&gt;N(O257)),"discount over price, ",""))-2)))</f>
        <v/>
      </c>
    </row>
    <row r="258" spans="1:29" x14ac:dyDescent="0.3">
      <c r="A258" s="16"/>
      <c r="B258" s="16"/>
      <c r="C258" s="16"/>
      <c r="D258" s="17"/>
      <c r="E258" s="17"/>
      <c r="F258" s="16"/>
      <c r="G258" s="16"/>
      <c r="H258" s="16"/>
      <c r="I258" s="16"/>
      <c r="J258" s="16"/>
      <c r="K258" s="16"/>
      <c r="L258" s="17"/>
      <c r="M258" s="17"/>
      <c r="N258" s="17"/>
      <c r="O258" s="18"/>
      <c r="P258" s="16"/>
      <c r="Q258" s="16"/>
      <c r="R258" s="19" t="str">
        <f t="shared" si="6"/>
        <v/>
      </c>
      <c r="S258" s="19" t="str">
        <f t="shared" si="7"/>
        <v/>
      </c>
      <c r="T258" s="17"/>
      <c r="U258" s="16"/>
      <c r="V258" s="16"/>
      <c r="W258" s="16"/>
      <c r="X258" s="16"/>
      <c r="Y258" s="16"/>
      <c r="Z258" s="16"/>
      <c r="AA258" s="16"/>
      <c r="AB258" s="20" t="str">
        <f>IF(A258="","",COUNTIF(Variants!$A$3:$A$1502,A258))</f>
        <v/>
      </c>
      <c r="AC258" s="21" t="str">
        <f>IF(A258="","",IF(IF(E258="","description, ","")&amp;IF(AND(O258="",COUNTIFS(Variants!$A$3:$A$1502,A258,Variants!$K$3:$K$1502,"&lt;&gt;")=0),"price, ","")&amp;IF(T258="","image, ","")&amp;IF(B258="","category, ","")&amp;IF(N(AB258)=0,"variant, ","")&amp;IF(AND(P258="Percentage",N(Q258)&gt;100),"discount over 100%, ","")&amp;IF(AND(P258="Fixed amount",O258&lt;&gt;"",N(Q258)&gt;N(O258)),"discount over price, ","")="","Ready","Missing: "&amp;LEFT(IF(E258="","description, ","")&amp;IF(AND(O258="",COUNTIFS(Variants!$A$3:$A$1502,A258,Variants!$K$3:$K$1502,"&lt;&gt;")=0),"price, ","")&amp;IF(T258="","image, ","")&amp;IF(B258="","category, ","")&amp;IF(N(AB258)=0,"variant, ","")&amp;IF(AND(P258="Percentage",N(Q258)&gt;100),"discount over 100%, ","")&amp;IF(AND(P258="Fixed amount",O258&lt;&gt;"",N(Q258)&gt;N(O258)),"discount over price, ",""),LEN(IF(E258="","description, ","")&amp;IF(AND(O258="",COUNTIFS(Variants!$A$3:$A$1502,A258,Variants!$K$3:$K$1502,"&lt;&gt;")=0),"price, ","")&amp;IF(T258="","image, ","")&amp;IF(B258="","category, ","")&amp;IF(N(AB258)=0,"variant, ","")&amp;IF(AND(P258="Percentage",N(Q258)&gt;100),"discount over 100%, ","")&amp;IF(AND(P258="Fixed amount",O258&lt;&gt;"",N(Q258)&gt;N(O258)),"discount over price, ",""))-2)))</f>
        <v/>
      </c>
    </row>
    <row r="259" spans="1:29" x14ac:dyDescent="0.3">
      <c r="A259" s="16"/>
      <c r="B259" s="16"/>
      <c r="C259" s="16"/>
      <c r="D259" s="17"/>
      <c r="E259" s="17"/>
      <c r="F259" s="16"/>
      <c r="G259" s="16"/>
      <c r="H259" s="16"/>
      <c r="I259" s="16"/>
      <c r="J259" s="16"/>
      <c r="K259" s="16"/>
      <c r="L259" s="17"/>
      <c r="M259" s="17"/>
      <c r="N259" s="17"/>
      <c r="O259" s="18"/>
      <c r="P259" s="16"/>
      <c r="Q259" s="16"/>
      <c r="R259" s="19" t="str">
        <f t="shared" ref="R259:R322" si="8">IF(O259="","",IF(P259="Percentage",ROUND(O259*N(Q259)/100,2),IF(P259="Fixed amount",N(Q259),0)))</f>
        <v/>
      </c>
      <c r="S259" s="19" t="str">
        <f t="shared" ref="S259:S322" si="9">IF(O259="","",O259-R259)</f>
        <v/>
      </c>
      <c r="T259" s="17"/>
      <c r="U259" s="16"/>
      <c r="V259" s="16"/>
      <c r="W259" s="16"/>
      <c r="X259" s="16"/>
      <c r="Y259" s="16"/>
      <c r="Z259" s="16"/>
      <c r="AA259" s="16"/>
      <c r="AB259" s="20" t="str">
        <f>IF(A259="","",COUNTIF(Variants!$A$3:$A$1502,A259))</f>
        <v/>
      </c>
      <c r="AC259" s="21" t="str">
        <f>IF(A259="","",IF(IF(E259="","description, ","")&amp;IF(AND(O259="",COUNTIFS(Variants!$A$3:$A$1502,A259,Variants!$K$3:$K$1502,"&lt;&gt;")=0),"price, ","")&amp;IF(T259="","image, ","")&amp;IF(B259="","category, ","")&amp;IF(N(AB259)=0,"variant, ","")&amp;IF(AND(P259="Percentage",N(Q259)&gt;100),"discount over 100%, ","")&amp;IF(AND(P259="Fixed amount",O259&lt;&gt;"",N(Q259)&gt;N(O259)),"discount over price, ","")="","Ready","Missing: "&amp;LEFT(IF(E259="","description, ","")&amp;IF(AND(O259="",COUNTIFS(Variants!$A$3:$A$1502,A259,Variants!$K$3:$K$1502,"&lt;&gt;")=0),"price, ","")&amp;IF(T259="","image, ","")&amp;IF(B259="","category, ","")&amp;IF(N(AB259)=0,"variant, ","")&amp;IF(AND(P259="Percentage",N(Q259)&gt;100),"discount over 100%, ","")&amp;IF(AND(P259="Fixed amount",O259&lt;&gt;"",N(Q259)&gt;N(O259)),"discount over price, ",""),LEN(IF(E259="","description, ","")&amp;IF(AND(O259="",COUNTIFS(Variants!$A$3:$A$1502,A259,Variants!$K$3:$K$1502,"&lt;&gt;")=0),"price, ","")&amp;IF(T259="","image, ","")&amp;IF(B259="","category, ","")&amp;IF(N(AB259)=0,"variant, ","")&amp;IF(AND(P259="Percentage",N(Q259)&gt;100),"discount over 100%, ","")&amp;IF(AND(P259="Fixed amount",O259&lt;&gt;"",N(Q259)&gt;N(O259)),"discount over price, ",""))-2)))</f>
        <v/>
      </c>
    </row>
    <row r="260" spans="1:29" x14ac:dyDescent="0.3">
      <c r="A260" s="16"/>
      <c r="B260" s="16"/>
      <c r="C260" s="16"/>
      <c r="D260" s="17"/>
      <c r="E260" s="17"/>
      <c r="F260" s="16"/>
      <c r="G260" s="16"/>
      <c r="H260" s="16"/>
      <c r="I260" s="16"/>
      <c r="J260" s="16"/>
      <c r="K260" s="16"/>
      <c r="L260" s="17"/>
      <c r="M260" s="17"/>
      <c r="N260" s="17"/>
      <c r="O260" s="18"/>
      <c r="P260" s="16"/>
      <c r="Q260" s="16"/>
      <c r="R260" s="19" t="str">
        <f t="shared" si="8"/>
        <v/>
      </c>
      <c r="S260" s="19" t="str">
        <f t="shared" si="9"/>
        <v/>
      </c>
      <c r="T260" s="17"/>
      <c r="U260" s="16"/>
      <c r="V260" s="16"/>
      <c r="W260" s="16"/>
      <c r="X260" s="16"/>
      <c r="Y260" s="16"/>
      <c r="Z260" s="16"/>
      <c r="AA260" s="16"/>
      <c r="AB260" s="20" t="str">
        <f>IF(A260="","",COUNTIF(Variants!$A$3:$A$1502,A260))</f>
        <v/>
      </c>
      <c r="AC260" s="21" t="str">
        <f>IF(A260="","",IF(IF(E260="","description, ","")&amp;IF(AND(O260="",COUNTIFS(Variants!$A$3:$A$1502,A260,Variants!$K$3:$K$1502,"&lt;&gt;")=0),"price, ","")&amp;IF(T260="","image, ","")&amp;IF(B260="","category, ","")&amp;IF(N(AB260)=0,"variant, ","")&amp;IF(AND(P260="Percentage",N(Q260)&gt;100),"discount over 100%, ","")&amp;IF(AND(P260="Fixed amount",O260&lt;&gt;"",N(Q260)&gt;N(O260)),"discount over price, ","")="","Ready","Missing: "&amp;LEFT(IF(E260="","description, ","")&amp;IF(AND(O260="",COUNTIFS(Variants!$A$3:$A$1502,A260,Variants!$K$3:$K$1502,"&lt;&gt;")=0),"price, ","")&amp;IF(T260="","image, ","")&amp;IF(B260="","category, ","")&amp;IF(N(AB260)=0,"variant, ","")&amp;IF(AND(P260="Percentage",N(Q260)&gt;100),"discount over 100%, ","")&amp;IF(AND(P260="Fixed amount",O260&lt;&gt;"",N(Q260)&gt;N(O260)),"discount over price, ",""),LEN(IF(E260="","description, ","")&amp;IF(AND(O260="",COUNTIFS(Variants!$A$3:$A$1502,A260,Variants!$K$3:$K$1502,"&lt;&gt;")=0),"price, ","")&amp;IF(T260="","image, ","")&amp;IF(B260="","category, ","")&amp;IF(N(AB260)=0,"variant, ","")&amp;IF(AND(P260="Percentage",N(Q260)&gt;100),"discount over 100%, ","")&amp;IF(AND(P260="Fixed amount",O260&lt;&gt;"",N(Q260)&gt;N(O260)),"discount over price, ",""))-2)))</f>
        <v/>
      </c>
    </row>
    <row r="261" spans="1:29" x14ac:dyDescent="0.3">
      <c r="A261" s="16"/>
      <c r="B261" s="16"/>
      <c r="C261" s="16"/>
      <c r="D261" s="17"/>
      <c r="E261" s="17"/>
      <c r="F261" s="16"/>
      <c r="G261" s="16"/>
      <c r="H261" s="16"/>
      <c r="I261" s="16"/>
      <c r="J261" s="16"/>
      <c r="K261" s="16"/>
      <c r="L261" s="17"/>
      <c r="M261" s="17"/>
      <c r="N261" s="17"/>
      <c r="O261" s="18"/>
      <c r="P261" s="16"/>
      <c r="Q261" s="16"/>
      <c r="R261" s="19" t="str">
        <f t="shared" si="8"/>
        <v/>
      </c>
      <c r="S261" s="19" t="str">
        <f t="shared" si="9"/>
        <v/>
      </c>
      <c r="T261" s="17"/>
      <c r="U261" s="16"/>
      <c r="V261" s="16"/>
      <c r="W261" s="16"/>
      <c r="X261" s="16"/>
      <c r="Y261" s="16"/>
      <c r="Z261" s="16"/>
      <c r="AA261" s="16"/>
      <c r="AB261" s="20" t="str">
        <f>IF(A261="","",COUNTIF(Variants!$A$3:$A$1502,A261))</f>
        <v/>
      </c>
      <c r="AC261" s="21" t="str">
        <f>IF(A261="","",IF(IF(E261="","description, ","")&amp;IF(AND(O261="",COUNTIFS(Variants!$A$3:$A$1502,A261,Variants!$K$3:$K$1502,"&lt;&gt;")=0),"price, ","")&amp;IF(T261="","image, ","")&amp;IF(B261="","category, ","")&amp;IF(N(AB261)=0,"variant, ","")&amp;IF(AND(P261="Percentage",N(Q261)&gt;100),"discount over 100%, ","")&amp;IF(AND(P261="Fixed amount",O261&lt;&gt;"",N(Q261)&gt;N(O261)),"discount over price, ","")="","Ready","Missing: "&amp;LEFT(IF(E261="","description, ","")&amp;IF(AND(O261="",COUNTIFS(Variants!$A$3:$A$1502,A261,Variants!$K$3:$K$1502,"&lt;&gt;")=0),"price, ","")&amp;IF(T261="","image, ","")&amp;IF(B261="","category, ","")&amp;IF(N(AB261)=0,"variant, ","")&amp;IF(AND(P261="Percentage",N(Q261)&gt;100),"discount over 100%, ","")&amp;IF(AND(P261="Fixed amount",O261&lt;&gt;"",N(Q261)&gt;N(O261)),"discount over price, ",""),LEN(IF(E261="","description, ","")&amp;IF(AND(O261="",COUNTIFS(Variants!$A$3:$A$1502,A261,Variants!$K$3:$K$1502,"&lt;&gt;")=0),"price, ","")&amp;IF(T261="","image, ","")&amp;IF(B261="","category, ","")&amp;IF(N(AB261)=0,"variant, ","")&amp;IF(AND(P261="Percentage",N(Q261)&gt;100),"discount over 100%, ","")&amp;IF(AND(P261="Fixed amount",O261&lt;&gt;"",N(Q261)&gt;N(O261)),"discount over price, ",""))-2)))</f>
        <v/>
      </c>
    </row>
    <row r="262" spans="1:29" x14ac:dyDescent="0.3">
      <c r="A262" s="16"/>
      <c r="B262" s="16"/>
      <c r="C262" s="16"/>
      <c r="D262" s="17"/>
      <c r="E262" s="17"/>
      <c r="F262" s="16"/>
      <c r="G262" s="16"/>
      <c r="H262" s="16"/>
      <c r="I262" s="16"/>
      <c r="J262" s="16"/>
      <c r="K262" s="16"/>
      <c r="L262" s="17"/>
      <c r="M262" s="17"/>
      <c r="N262" s="17"/>
      <c r="O262" s="18"/>
      <c r="P262" s="16"/>
      <c r="Q262" s="16"/>
      <c r="R262" s="19" t="str">
        <f t="shared" si="8"/>
        <v/>
      </c>
      <c r="S262" s="19" t="str">
        <f t="shared" si="9"/>
        <v/>
      </c>
      <c r="T262" s="17"/>
      <c r="U262" s="16"/>
      <c r="V262" s="16"/>
      <c r="W262" s="16"/>
      <c r="X262" s="16"/>
      <c r="Y262" s="16"/>
      <c r="Z262" s="16"/>
      <c r="AA262" s="16"/>
      <c r="AB262" s="20" t="str">
        <f>IF(A262="","",COUNTIF(Variants!$A$3:$A$1502,A262))</f>
        <v/>
      </c>
      <c r="AC262" s="21" t="str">
        <f>IF(A262="","",IF(IF(E262="","description, ","")&amp;IF(AND(O262="",COUNTIFS(Variants!$A$3:$A$1502,A262,Variants!$K$3:$K$1502,"&lt;&gt;")=0),"price, ","")&amp;IF(T262="","image, ","")&amp;IF(B262="","category, ","")&amp;IF(N(AB262)=0,"variant, ","")&amp;IF(AND(P262="Percentage",N(Q262)&gt;100),"discount over 100%, ","")&amp;IF(AND(P262="Fixed amount",O262&lt;&gt;"",N(Q262)&gt;N(O262)),"discount over price, ","")="","Ready","Missing: "&amp;LEFT(IF(E262="","description, ","")&amp;IF(AND(O262="",COUNTIFS(Variants!$A$3:$A$1502,A262,Variants!$K$3:$K$1502,"&lt;&gt;")=0),"price, ","")&amp;IF(T262="","image, ","")&amp;IF(B262="","category, ","")&amp;IF(N(AB262)=0,"variant, ","")&amp;IF(AND(P262="Percentage",N(Q262)&gt;100),"discount over 100%, ","")&amp;IF(AND(P262="Fixed amount",O262&lt;&gt;"",N(Q262)&gt;N(O262)),"discount over price, ",""),LEN(IF(E262="","description, ","")&amp;IF(AND(O262="",COUNTIFS(Variants!$A$3:$A$1502,A262,Variants!$K$3:$K$1502,"&lt;&gt;")=0),"price, ","")&amp;IF(T262="","image, ","")&amp;IF(B262="","category, ","")&amp;IF(N(AB262)=0,"variant, ","")&amp;IF(AND(P262="Percentage",N(Q262)&gt;100),"discount over 100%, ","")&amp;IF(AND(P262="Fixed amount",O262&lt;&gt;"",N(Q262)&gt;N(O262)),"discount over price, ",""))-2)))</f>
        <v/>
      </c>
    </row>
    <row r="263" spans="1:29" x14ac:dyDescent="0.3">
      <c r="A263" s="16"/>
      <c r="B263" s="16"/>
      <c r="C263" s="16"/>
      <c r="D263" s="17"/>
      <c r="E263" s="17"/>
      <c r="F263" s="16"/>
      <c r="G263" s="16"/>
      <c r="H263" s="16"/>
      <c r="I263" s="16"/>
      <c r="J263" s="16"/>
      <c r="K263" s="16"/>
      <c r="L263" s="17"/>
      <c r="M263" s="17"/>
      <c r="N263" s="17"/>
      <c r="O263" s="18"/>
      <c r="P263" s="16"/>
      <c r="Q263" s="16"/>
      <c r="R263" s="19" t="str">
        <f t="shared" si="8"/>
        <v/>
      </c>
      <c r="S263" s="19" t="str">
        <f t="shared" si="9"/>
        <v/>
      </c>
      <c r="T263" s="17"/>
      <c r="U263" s="16"/>
      <c r="V263" s="16"/>
      <c r="W263" s="16"/>
      <c r="X263" s="16"/>
      <c r="Y263" s="16"/>
      <c r="Z263" s="16"/>
      <c r="AA263" s="16"/>
      <c r="AB263" s="20" t="str">
        <f>IF(A263="","",COUNTIF(Variants!$A$3:$A$1502,A263))</f>
        <v/>
      </c>
      <c r="AC263" s="21" t="str">
        <f>IF(A263="","",IF(IF(E263="","description, ","")&amp;IF(AND(O263="",COUNTIFS(Variants!$A$3:$A$1502,A263,Variants!$K$3:$K$1502,"&lt;&gt;")=0),"price, ","")&amp;IF(T263="","image, ","")&amp;IF(B263="","category, ","")&amp;IF(N(AB263)=0,"variant, ","")&amp;IF(AND(P263="Percentage",N(Q263)&gt;100),"discount over 100%, ","")&amp;IF(AND(P263="Fixed amount",O263&lt;&gt;"",N(Q263)&gt;N(O263)),"discount over price, ","")="","Ready","Missing: "&amp;LEFT(IF(E263="","description, ","")&amp;IF(AND(O263="",COUNTIFS(Variants!$A$3:$A$1502,A263,Variants!$K$3:$K$1502,"&lt;&gt;")=0),"price, ","")&amp;IF(T263="","image, ","")&amp;IF(B263="","category, ","")&amp;IF(N(AB263)=0,"variant, ","")&amp;IF(AND(P263="Percentage",N(Q263)&gt;100),"discount over 100%, ","")&amp;IF(AND(P263="Fixed amount",O263&lt;&gt;"",N(Q263)&gt;N(O263)),"discount over price, ",""),LEN(IF(E263="","description, ","")&amp;IF(AND(O263="",COUNTIFS(Variants!$A$3:$A$1502,A263,Variants!$K$3:$K$1502,"&lt;&gt;")=0),"price, ","")&amp;IF(T263="","image, ","")&amp;IF(B263="","category, ","")&amp;IF(N(AB263)=0,"variant, ","")&amp;IF(AND(P263="Percentage",N(Q263)&gt;100),"discount over 100%, ","")&amp;IF(AND(P263="Fixed amount",O263&lt;&gt;"",N(Q263)&gt;N(O263)),"discount over price, ",""))-2)))</f>
        <v/>
      </c>
    </row>
    <row r="264" spans="1:29" x14ac:dyDescent="0.3">
      <c r="A264" s="16"/>
      <c r="B264" s="16"/>
      <c r="C264" s="16"/>
      <c r="D264" s="17"/>
      <c r="E264" s="17"/>
      <c r="F264" s="16"/>
      <c r="G264" s="16"/>
      <c r="H264" s="16"/>
      <c r="I264" s="16"/>
      <c r="J264" s="16"/>
      <c r="K264" s="16"/>
      <c r="L264" s="17"/>
      <c r="M264" s="17"/>
      <c r="N264" s="17"/>
      <c r="O264" s="18"/>
      <c r="P264" s="16"/>
      <c r="Q264" s="16"/>
      <c r="R264" s="19" t="str">
        <f t="shared" si="8"/>
        <v/>
      </c>
      <c r="S264" s="19" t="str">
        <f t="shared" si="9"/>
        <v/>
      </c>
      <c r="T264" s="17"/>
      <c r="U264" s="16"/>
      <c r="V264" s="16"/>
      <c r="W264" s="16"/>
      <c r="X264" s="16"/>
      <c r="Y264" s="16"/>
      <c r="Z264" s="16"/>
      <c r="AA264" s="16"/>
      <c r="AB264" s="20" t="str">
        <f>IF(A264="","",COUNTIF(Variants!$A$3:$A$1502,A264))</f>
        <v/>
      </c>
      <c r="AC264" s="21" t="str">
        <f>IF(A264="","",IF(IF(E264="","description, ","")&amp;IF(AND(O264="",COUNTIFS(Variants!$A$3:$A$1502,A264,Variants!$K$3:$K$1502,"&lt;&gt;")=0),"price, ","")&amp;IF(T264="","image, ","")&amp;IF(B264="","category, ","")&amp;IF(N(AB264)=0,"variant, ","")&amp;IF(AND(P264="Percentage",N(Q264)&gt;100),"discount over 100%, ","")&amp;IF(AND(P264="Fixed amount",O264&lt;&gt;"",N(Q264)&gt;N(O264)),"discount over price, ","")="","Ready","Missing: "&amp;LEFT(IF(E264="","description, ","")&amp;IF(AND(O264="",COUNTIFS(Variants!$A$3:$A$1502,A264,Variants!$K$3:$K$1502,"&lt;&gt;")=0),"price, ","")&amp;IF(T264="","image, ","")&amp;IF(B264="","category, ","")&amp;IF(N(AB264)=0,"variant, ","")&amp;IF(AND(P264="Percentage",N(Q264)&gt;100),"discount over 100%, ","")&amp;IF(AND(P264="Fixed amount",O264&lt;&gt;"",N(Q264)&gt;N(O264)),"discount over price, ",""),LEN(IF(E264="","description, ","")&amp;IF(AND(O264="",COUNTIFS(Variants!$A$3:$A$1502,A264,Variants!$K$3:$K$1502,"&lt;&gt;")=0),"price, ","")&amp;IF(T264="","image, ","")&amp;IF(B264="","category, ","")&amp;IF(N(AB264)=0,"variant, ","")&amp;IF(AND(P264="Percentage",N(Q264)&gt;100),"discount over 100%, ","")&amp;IF(AND(P264="Fixed amount",O264&lt;&gt;"",N(Q264)&gt;N(O264)),"discount over price, ",""))-2)))</f>
        <v/>
      </c>
    </row>
    <row r="265" spans="1:29" x14ac:dyDescent="0.3">
      <c r="A265" s="16"/>
      <c r="B265" s="16"/>
      <c r="C265" s="16"/>
      <c r="D265" s="17"/>
      <c r="E265" s="17"/>
      <c r="F265" s="16"/>
      <c r="G265" s="16"/>
      <c r="H265" s="16"/>
      <c r="I265" s="16"/>
      <c r="J265" s="16"/>
      <c r="K265" s="16"/>
      <c r="L265" s="17"/>
      <c r="M265" s="17"/>
      <c r="N265" s="17"/>
      <c r="O265" s="18"/>
      <c r="P265" s="16"/>
      <c r="Q265" s="16"/>
      <c r="R265" s="19" t="str">
        <f t="shared" si="8"/>
        <v/>
      </c>
      <c r="S265" s="19" t="str">
        <f t="shared" si="9"/>
        <v/>
      </c>
      <c r="T265" s="17"/>
      <c r="U265" s="16"/>
      <c r="V265" s="16"/>
      <c r="W265" s="16"/>
      <c r="X265" s="16"/>
      <c r="Y265" s="16"/>
      <c r="Z265" s="16"/>
      <c r="AA265" s="16"/>
      <c r="AB265" s="20" t="str">
        <f>IF(A265="","",COUNTIF(Variants!$A$3:$A$1502,A265))</f>
        <v/>
      </c>
      <c r="AC265" s="21" t="str">
        <f>IF(A265="","",IF(IF(E265="","description, ","")&amp;IF(AND(O265="",COUNTIFS(Variants!$A$3:$A$1502,A265,Variants!$K$3:$K$1502,"&lt;&gt;")=0),"price, ","")&amp;IF(T265="","image, ","")&amp;IF(B265="","category, ","")&amp;IF(N(AB265)=0,"variant, ","")&amp;IF(AND(P265="Percentage",N(Q265)&gt;100),"discount over 100%, ","")&amp;IF(AND(P265="Fixed amount",O265&lt;&gt;"",N(Q265)&gt;N(O265)),"discount over price, ","")="","Ready","Missing: "&amp;LEFT(IF(E265="","description, ","")&amp;IF(AND(O265="",COUNTIFS(Variants!$A$3:$A$1502,A265,Variants!$K$3:$K$1502,"&lt;&gt;")=0),"price, ","")&amp;IF(T265="","image, ","")&amp;IF(B265="","category, ","")&amp;IF(N(AB265)=0,"variant, ","")&amp;IF(AND(P265="Percentage",N(Q265)&gt;100),"discount over 100%, ","")&amp;IF(AND(P265="Fixed amount",O265&lt;&gt;"",N(Q265)&gt;N(O265)),"discount over price, ",""),LEN(IF(E265="","description, ","")&amp;IF(AND(O265="",COUNTIFS(Variants!$A$3:$A$1502,A265,Variants!$K$3:$K$1502,"&lt;&gt;")=0),"price, ","")&amp;IF(T265="","image, ","")&amp;IF(B265="","category, ","")&amp;IF(N(AB265)=0,"variant, ","")&amp;IF(AND(P265="Percentage",N(Q265)&gt;100),"discount over 100%, ","")&amp;IF(AND(P265="Fixed amount",O265&lt;&gt;"",N(Q265)&gt;N(O265)),"discount over price, ",""))-2)))</f>
        <v/>
      </c>
    </row>
    <row r="266" spans="1:29" x14ac:dyDescent="0.3">
      <c r="A266" s="16"/>
      <c r="B266" s="16"/>
      <c r="C266" s="16"/>
      <c r="D266" s="17"/>
      <c r="E266" s="17"/>
      <c r="F266" s="16"/>
      <c r="G266" s="16"/>
      <c r="H266" s="16"/>
      <c r="I266" s="16"/>
      <c r="J266" s="16"/>
      <c r="K266" s="16"/>
      <c r="L266" s="17"/>
      <c r="M266" s="17"/>
      <c r="N266" s="17"/>
      <c r="O266" s="18"/>
      <c r="P266" s="16"/>
      <c r="Q266" s="16"/>
      <c r="R266" s="19" t="str">
        <f t="shared" si="8"/>
        <v/>
      </c>
      <c r="S266" s="19" t="str">
        <f t="shared" si="9"/>
        <v/>
      </c>
      <c r="T266" s="17"/>
      <c r="U266" s="16"/>
      <c r="V266" s="16"/>
      <c r="W266" s="16"/>
      <c r="X266" s="16"/>
      <c r="Y266" s="16"/>
      <c r="Z266" s="16"/>
      <c r="AA266" s="16"/>
      <c r="AB266" s="20" t="str">
        <f>IF(A266="","",COUNTIF(Variants!$A$3:$A$1502,A266))</f>
        <v/>
      </c>
      <c r="AC266" s="21" t="str">
        <f>IF(A266="","",IF(IF(E266="","description, ","")&amp;IF(AND(O266="",COUNTIFS(Variants!$A$3:$A$1502,A266,Variants!$K$3:$K$1502,"&lt;&gt;")=0),"price, ","")&amp;IF(T266="","image, ","")&amp;IF(B266="","category, ","")&amp;IF(N(AB266)=0,"variant, ","")&amp;IF(AND(P266="Percentage",N(Q266)&gt;100),"discount over 100%, ","")&amp;IF(AND(P266="Fixed amount",O266&lt;&gt;"",N(Q266)&gt;N(O266)),"discount over price, ","")="","Ready","Missing: "&amp;LEFT(IF(E266="","description, ","")&amp;IF(AND(O266="",COUNTIFS(Variants!$A$3:$A$1502,A266,Variants!$K$3:$K$1502,"&lt;&gt;")=0),"price, ","")&amp;IF(T266="","image, ","")&amp;IF(B266="","category, ","")&amp;IF(N(AB266)=0,"variant, ","")&amp;IF(AND(P266="Percentage",N(Q266)&gt;100),"discount over 100%, ","")&amp;IF(AND(P266="Fixed amount",O266&lt;&gt;"",N(Q266)&gt;N(O266)),"discount over price, ",""),LEN(IF(E266="","description, ","")&amp;IF(AND(O266="",COUNTIFS(Variants!$A$3:$A$1502,A266,Variants!$K$3:$K$1502,"&lt;&gt;")=0),"price, ","")&amp;IF(T266="","image, ","")&amp;IF(B266="","category, ","")&amp;IF(N(AB266)=0,"variant, ","")&amp;IF(AND(P266="Percentage",N(Q266)&gt;100),"discount over 100%, ","")&amp;IF(AND(P266="Fixed amount",O266&lt;&gt;"",N(Q266)&gt;N(O266)),"discount over price, ",""))-2)))</f>
        <v/>
      </c>
    </row>
    <row r="267" spans="1:29" x14ac:dyDescent="0.3">
      <c r="A267" s="16"/>
      <c r="B267" s="16"/>
      <c r="C267" s="16"/>
      <c r="D267" s="17"/>
      <c r="E267" s="17"/>
      <c r="F267" s="16"/>
      <c r="G267" s="16"/>
      <c r="H267" s="16"/>
      <c r="I267" s="16"/>
      <c r="J267" s="16"/>
      <c r="K267" s="16"/>
      <c r="L267" s="17"/>
      <c r="M267" s="17"/>
      <c r="N267" s="17"/>
      <c r="O267" s="18"/>
      <c r="P267" s="16"/>
      <c r="Q267" s="16"/>
      <c r="R267" s="19" t="str">
        <f t="shared" si="8"/>
        <v/>
      </c>
      <c r="S267" s="19" t="str">
        <f t="shared" si="9"/>
        <v/>
      </c>
      <c r="T267" s="17"/>
      <c r="U267" s="16"/>
      <c r="V267" s="16"/>
      <c r="W267" s="16"/>
      <c r="X267" s="16"/>
      <c r="Y267" s="16"/>
      <c r="Z267" s="16"/>
      <c r="AA267" s="16"/>
      <c r="AB267" s="20" t="str">
        <f>IF(A267="","",COUNTIF(Variants!$A$3:$A$1502,A267))</f>
        <v/>
      </c>
      <c r="AC267" s="21" t="str">
        <f>IF(A267="","",IF(IF(E267="","description, ","")&amp;IF(AND(O267="",COUNTIFS(Variants!$A$3:$A$1502,A267,Variants!$K$3:$K$1502,"&lt;&gt;")=0),"price, ","")&amp;IF(T267="","image, ","")&amp;IF(B267="","category, ","")&amp;IF(N(AB267)=0,"variant, ","")&amp;IF(AND(P267="Percentage",N(Q267)&gt;100),"discount over 100%, ","")&amp;IF(AND(P267="Fixed amount",O267&lt;&gt;"",N(Q267)&gt;N(O267)),"discount over price, ","")="","Ready","Missing: "&amp;LEFT(IF(E267="","description, ","")&amp;IF(AND(O267="",COUNTIFS(Variants!$A$3:$A$1502,A267,Variants!$K$3:$K$1502,"&lt;&gt;")=0),"price, ","")&amp;IF(T267="","image, ","")&amp;IF(B267="","category, ","")&amp;IF(N(AB267)=0,"variant, ","")&amp;IF(AND(P267="Percentage",N(Q267)&gt;100),"discount over 100%, ","")&amp;IF(AND(P267="Fixed amount",O267&lt;&gt;"",N(Q267)&gt;N(O267)),"discount over price, ",""),LEN(IF(E267="","description, ","")&amp;IF(AND(O267="",COUNTIFS(Variants!$A$3:$A$1502,A267,Variants!$K$3:$K$1502,"&lt;&gt;")=0),"price, ","")&amp;IF(T267="","image, ","")&amp;IF(B267="","category, ","")&amp;IF(N(AB267)=0,"variant, ","")&amp;IF(AND(P267="Percentage",N(Q267)&gt;100),"discount over 100%, ","")&amp;IF(AND(P267="Fixed amount",O267&lt;&gt;"",N(Q267)&gt;N(O267)),"discount over price, ",""))-2)))</f>
        <v/>
      </c>
    </row>
    <row r="268" spans="1:29" x14ac:dyDescent="0.3">
      <c r="A268" s="16"/>
      <c r="B268" s="16"/>
      <c r="C268" s="16"/>
      <c r="D268" s="17"/>
      <c r="E268" s="17"/>
      <c r="F268" s="16"/>
      <c r="G268" s="16"/>
      <c r="H268" s="16"/>
      <c r="I268" s="16"/>
      <c r="J268" s="16"/>
      <c r="K268" s="16"/>
      <c r="L268" s="17"/>
      <c r="M268" s="17"/>
      <c r="N268" s="17"/>
      <c r="O268" s="18"/>
      <c r="P268" s="16"/>
      <c r="Q268" s="16"/>
      <c r="R268" s="19" t="str">
        <f t="shared" si="8"/>
        <v/>
      </c>
      <c r="S268" s="19" t="str">
        <f t="shared" si="9"/>
        <v/>
      </c>
      <c r="T268" s="17"/>
      <c r="U268" s="16"/>
      <c r="V268" s="16"/>
      <c r="W268" s="16"/>
      <c r="X268" s="16"/>
      <c r="Y268" s="16"/>
      <c r="Z268" s="16"/>
      <c r="AA268" s="16"/>
      <c r="AB268" s="20" t="str">
        <f>IF(A268="","",COUNTIF(Variants!$A$3:$A$1502,A268))</f>
        <v/>
      </c>
      <c r="AC268" s="21" t="str">
        <f>IF(A268="","",IF(IF(E268="","description, ","")&amp;IF(AND(O268="",COUNTIFS(Variants!$A$3:$A$1502,A268,Variants!$K$3:$K$1502,"&lt;&gt;")=0),"price, ","")&amp;IF(T268="","image, ","")&amp;IF(B268="","category, ","")&amp;IF(N(AB268)=0,"variant, ","")&amp;IF(AND(P268="Percentage",N(Q268)&gt;100),"discount over 100%, ","")&amp;IF(AND(P268="Fixed amount",O268&lt;&gt;"",N(Q268)&gt;N(O268)),"discount over price, ","")="","Ready","Missing: "&amp;LEFT(IF(E268="","description, ","")&amp;IF(AND(O268="",COUNTIFS(Variants!$A$3:$A$1502,A268,Variants!$K$3:$K$1502,"&lt;&gt;")=0),"price, ","")&amp;IF(T268="","image, ","")&amp;IF(B268="","category, ","")&amp;IF(N(AB268)=0,"variant, ","")&amp;IF(AND(P268="Percentage",N(Q268)&gt;100),"discount over 100%, ","")&amp;IF(AND(P268="Fixed amount",O268&lt;&gt;"",N(Q268)&gt;N(O268)),"discount over price, ",""),LEN(IF(E268="","description, ","")&amp;IF(AND(O268="",COUNTIFS(Variants!$A$3:$A$1502,A268,Variants!$K$3:$K$1502,"&lt;&gt;")=0),"price, ","")&amp;IF(T268="","image, ","")&amp;IF(B268="","category, ","")&amp;IF(N(AB268)=0,"variant, ","")&amp;IF(AND(P268="Percentage",N(Q268)&gt;100),"discount over 100%, ","")&amp;IF(AND(P268="Fixed amount",O268&lt;&gt;"",N(Q268)&gt;N(O268)),"discount over price, ",""))-2)))</f>
        <v/>
      </c>
    </row>
    <row r="269" spans="1:29" x14ac:dyDescent="0.3">
      <c r="A269" s="16"/>
      <c r="B269" s="16"/>
      <c r="C269" s="16"/>
      <c r="D269" s="17"/>
      <c r="E269" s="17"/>
      <c r="F269" s="16"/>
      <c r="G269" s="16"/>
      <c r="H269" s="16"/>
      <c r="I269" s="16"/>
      <c r="J269" s="16"/>
      <c r="K269" s="16"/>
      <c r="L269" s="17"/>
      <c r="M269" s="17"/>
      <c r="N269" s="17"/>
      <c r="O269" s="18"/>
      <c r="P269" s="16"/>
      <c r="Q269" s="16"/>
      <c r="R269" s="19" t="str">
        <f t="shared" si="8"/>
        <v/>
      </c>
      <c r="S269" s="19" t="str">
        <f t="shared" si="9"/>
        <v/>
      </c>
      <c r="T269" s="17"/>
      <c r="U269" s="16"/>
      <c r="V269" s="16"/>
      <c r="W269" s="16"/>
      <c r="X269" s="16"/>
      <c r="Y269" s="16"/>
      <c r="Z269" s="16"/>
      <c r="AA269" s="16"/>
      <c r="AB269" s="20" t="str">
        <f>IF(A269="","",COUNTIF(Variants!$A$3:$A$1502,A269))</f>
        <v/>
      </c>
      <c r="AC269" s="21" t="str">
        <f>IF(A269="","",IF(IF(E269="","description, ","")&amp;IF(AND(O269="",COUNTIFS(Variants!$A$3:$A$1502,A269,Variants!$K$3:$K$1502,"&lt;&gt;")=0),"price, ","")&amp;IF(T269="","image, ","")&amp;IF(B269="","category, ","")&amp;IF(N(AB269)=0,"variant, ","")&amp;IF(AND(P269="Percentage",N(Q269)&gt;100),"discount over 100%, ","")&amp;IF(AND(P269="Fixed amount",O269&lt;&gt;"",N(Q269)&gt;N(O269)),"discount over price, ","")="","Ready","Missing: "&amp;LEFT(IF(E269="","description, ","")&amp;IF(AND(O269="",COUNTIFS(Variants!$A$3:$A$1502,A269,Variants!$K$3:$K$1502,"&lt;&gt;")=0),"price, ","")&amp;IF(T269="","image, ","")&amp;IF(B269="","category, ","")&amp;IF(N(AB269)=0,"variant, ","")&amp;IF(AND(P269="Percentage",N(Q269)&gt;100),"discount over 100%, ","")&amp;IF(AND(P269="Fixed amount",O269&lt;&gt;"",N(Q269)&gt;N(O269)),"discount over price, ",""),LEN(IF(E269="","description, ","")&amp;IF(AND(O269="",COUNTIFS(Variants!$A$3:$A$1502,A269,Variants!$K$3:$K$1502,"&lt;&gt;")=0),"price, ","")&amp;IF(T269="","image, ","")&amp;IF(B269="","category, ","")&amp;IF(N(AB269)=0,"variant, ","")&amp;IF(AND(P269="Percentage",N(Q269)&gt;100),"discount over 100%, ","")&amp;IF(AND(P269="Fixed amount",O269&lt;&gt;"",N(Q269)&gt;N(O269)),"discount over price, ",""))-2)))</f>
        <v/>
      </c>
    </row>
    <row r="270" spans="1:29" x14ac:dyDescent="0.3">
      <c r="A270" s="16"/>
      <c r="B270" s="16"/>
      <c r="C270" s="16"/>
      <c r="D270" s="17"/>
      <c r="E270" s="17"/>
      <c r="F270" s="16"/>
      <c r="G270" s="16"/>
      <c r="H270" s="16"/>
      <c r="I270" s="16"/>
      <c r="J270" s="16"/>
      <c r="K270" s="16"/>
      <c r="L270" s="17"/>
      <c r="M270" s="17"/>
      <c r="N270" s="17"/>
      <c r="O270" s="18"/>
      <c r="P270" s="16"/>
      <c r="Q270" s="16"/>
      <c r="R270" s="19" t="str">
        <f t="shared" si="8"/>
        <v/>
      </c>
      <c r="S270" s="19" t="str">
        <f t="shared" si="9"/>
        <v/>
      </c>
      <c r="T270" s="17"/>
      <c r="U270" s="16"/>
      <c r="V270" s="16"/>
      <c r="W270" s="16"/>
      <c r="X270" s="16"/>
      <c r="Y270" s="16"/>
      <c r="Z270" s="16"/>
      <c r="AA270" s="16"/>
      <c r="AB270" s="20" t="str">
        <f>IF(A270="","",COUNTIF(Variants!$A$3:$A$1502,A270))</f>
        <v/>
      </c>
      <c r="AC270" s="21" t="str">
        <f>IF(A270="","",IF(IF(E270="","description, ","")&amp;IF(AND(O270="",COUNTIFS(Variants!$A$3:$A$1502,A270,Variants!$K$3:$K$1502,"&lt;&gt;")=0),"price, ","")&amp;IF(T270="","image, ","")&amp;IF(B270="","category, ","")&amp;IF(N(AB270)=0,"variant, ","")&amp;IF(AND(P270="Percentage",N(Q270)&gt;100),"discount over 100%, ","")&amp;IF(AND(P270="Fixed amount",O270&lt;&gt;"",N(Q270)&gt;N(O270)),"discount over price, ","")="","Ready","Missing: "&amp;LEFT(IF(E270="","description, ","")&amp;IF(AND(O270="",COUNTIFS(Variants!$A$3:$A$1502,A270,Variants!$K$3:$K$1502,"&lt;&gt;")=0),"price, ","")&amp;IF(T270="","image, ","")&amp;IF(B270="","category, ","")&amp;IF(N(AB270)=0,"variant, ","")&amp;IF(AND(P270="Percentage",N(Q270)&gt;100),"discount over 100%, ","")&amp;IF(AND(P270="Fixed amount",O270&lt;&gt;"",N(Q270)&gt;N(O270)),"discount over price, ",""),LEN(IF(E270="","description, ","")&amp;IF(AND(O270="",COUNTIFS(Variants!$A$3:$A$1502,A270,Variants!$K$3:$K$1502,"&lt;&gt;")=0),"price, ","")&amp;IF(T270="","image, ","")&amp;IF(B270="","category, ","")&amp;IF(N(AB270)=0,"variant, ","")&amp;IF(AND(P270="Percentage",N(Q270)&gt;100),"discount over 100%, ","")&amp;IF(AND(P270="Fixed amount",O270&lt;&gt;"",N(Q270)&gt;N(O270)),"discount over price, ",""))-2)))</f>
        <v/>
      </c>
    </row>
    <row r="271" spans="1:29" x14ac:dyDescent="0.3">
      <c r="A271" s="16"/>
      <c r="B271" s="16"/>
      <c r="C271" s="16"/>
      <c r="D271" s="17"/>
      <c r="E271" s="17"/>
      <c r="F271" s="16"/>
      <c r="G271" s="16"/>
      <c r="H271" s="16"/>
      <c r="I271" s="16"/>
      <c r="J271" s="16"/>
      <c r="K271" s="16"/>
      <c r="L271" s="17"/>
      <c r="M271" s="17"/>
      <c r="N271" s="17"/>
      <c r="O271" s="18"/>
      <c r="P271" s="16"/>
      <c r="Q271" s="16"/>
      <c r="R271" s="19" t="str">
        <f t="shared" si="8"/>
        <v/>
      </c>
      <c r="S271" s="19" t="str">
        <f t="shared" si="9"/>
        <v/>
      </c>
      <c r="T271" s="17"/>
      <c r="U271" s="16"/>
      <c r="V271" s="16"/>
      <c r="W271" s="16"/>
      <c r="X271" s="16"/>
      <c r="Y271" s="16"/>
      <c r="Z271" s="16"/>
      <c r="AA271" s="16"/>
      <c r="AB271" s="20" t="str">
        <f>IF(A271="","",COUNTIF(Variants!$A$3:$A$1502,A271))</f>
        <v/>
      </c>
      <c r="AC271" s="21" t="str">
        <f>IF(A271="","",IF(IF(E271="","description, ","")&amp;IF(AND(O271="",COUNTIFS(Variants!$A$3:$A$1502,A271,Variants!$K$3:$K$1502,"&lt;&gt;")=0),"price, ","")&amp;IF(T271="","image, ","")&amp;IF(B271="","category, ","")&amp;IF(N(AB271)=0,"variant, ","")&amp;IF(AND(P271="Percentage",N(Q271)&gt;100),"discount over 100%, ","")&amp;IF(AND(P271="Fixed amount",O271&lt;&gt;"",N(Q271)&gt;N(O271)),"discount over price, ","")="","Ready","Missing: "&amp;LEFT(IF(E271="","description, ","")&amp;IF(AND(O271="",COUNTIFS(Variants!$A$3:$A$1502,A271,Variants!$K$3:$K$1502,"&lt;&gt;")=0),"price, ","")&amp;IF(T271="","image, ","")&amp;IF(B271="","category, ","")&amp;IF(N(AB271)=0,"variant, ","")&amp;IF(AND(P271="Percentage",N(Q271)&gt;100),"discount over 100%, ","")&amp;IF(AND(P271="Fixed amount",O271&lt;&gt;"",N(Q271)&gt;N(O271)),"discount over price, ",""),LEN(IF(E271="","description, ","")&amp;IF(AND(O271="",COUNTIFS(Variants!$A$3:$A$1502,A271,Variants!$K$3:$K$1502,"&lt;&gt;")=0),"price, ","")&amp;IF(T271="","image, ","")&amp;IF(B271="","category, ","")&amp;IF(N(AB271)=0,"variant, ","")&amp;IF(AND(P271="Percentage",N(Q271)&gt;100),"discount over 100%, ","")&amp;IF(AND(P271="Fixed amount",O271&lt;&gt;"",N(Q271)&gt;N(O271)),"discount over price, ",""))-2)))</f>
        <v/>
      </c>
    </row>
    <row r="272" spans="1:29" x14ac:dyDescent="0.3">
      <c r="A272" s="16"/>
      <c r="B272" s="16"/>
      <c r="C272" s="16"/>
      <c r="D272" s="17"/>
      <c r="E272" s="17"/>
      <c r="F272" s="16"/>
      <c r="G272" s="16"/>
      <c r="H272" s="16"/>
      <c r="I272" s="16"/>
      <c r="J272" s="16"/>
      <c r="K272" s="16"/>
      <c r="L272" s="17"/>
      <c r="M272" s="17"/>
      <c r="N272" s="17"/>
      <c r="O272" s="18"/>
      <c r="P272" s="16"/>
      <c r="Q272" s="16"/>
      <c r="R272" s="19" t="str">
        <f t="shared" si="8"/>
        <v/>
      </c>
      <c r="S272" s="19" t="str">
        <f t="shared" si="9"/>
        <v/>
      </c>
      <c r="T272" s="17"/>
      <c r="U272" s="16"/>
      <c r="V272" s="16"/>
      <c r="W272" s="16"/>
      <c r="X272" s="16"/>
      <c r="Y272" s="16"/>
      <c r="Z272" s="16"/>
      <c r="AA272" s="16"/>
      <c r="AB272" s="20" t="str">
        <f>IF(A272="","",COUNTIF(Variants!$A$3:$A$1502,A272))</f>
        <v/>
      </c>
      <c r="AC272" s="21" t="str">
        <f>IF(A272="","",IF(IF(E272="","description, ","")&amp;IF(AND(O272="",COUNTIFS(Variants!$A$3:$A$1502,A272,Variants!$K$3:$K$1502,"&lt;&gt;")=0),"price, ","")&amp;IF(T272="","image, ","")&amp;IF(B272="","category, ","")&amp;IF(N(AB272)=0,"variant, ","")&amp;IF(AND(P272="Percentage",N(Q272)&gt;100),"discount over 100%, ","")&amp;IF(AND(P272="Fixed amount",O272&lt;&gt;"",N(Q272)&gt;N(O272)),"discount over price, ","")="","Ready","Missing: "&amp;LEFT(IF(E272="","description, ","")&amp;IF(AND(O272="",COUNTIFS(Variants!$A$3:$A$1502,A272,Variants!$K$3:$K$1502,"&lt;&gt;")=0),"price, ","")&amp;IF(T272="","image, ","")&amp;IF(B272="","category, ","")&amp;IF(N(AB272)=0,"variant, ","")&amp;IF(AND(P272="Percentage",N(Q272)&gt;100),"discount over 100%, ","")&amp;IF(AND(P272="Fixed amount",O272&lt;&gt;"",N(Q272)&gt;N(O272)),"discount over price, ",""),LEN(IF(E272="","description, ","")&amp;IF(AND(O272="",COUNTIFS(Variants!$A$3:$A$1502,A272,Variants!$K$3:$K$1502,"&lt;&gt;")=0),"price, ","")&amp;IF(T272="","image, ","")&amp;IF(B272="","category, ","")&amp;IF(N(AB272)=0,"variant, ","")&amp;IF(AND(P272="Percentage",N(Q272)&gt;100),"discount over 100%, ","")&amp;IF(AND(P272="Fixed amount",O272&lt;&gt;"",N(Q272)&gt;N(O272)),"discount over price, ",""))-2)))</f>
        <v/>
      </c>
    </row>
    <row r="273" spans="1:29" x14ac:dyDescent="0.3">
      <c r="A273" s="16"/>
      <c r="B273" s="16"/>
      <c r="C273" s="16"/>
      <c r="D273" s="17"/>
      <c r="E273" s="17"/>
      <c r="F273" s="16"/>
      <c r="G273" s="16"/>
      <c r="H273" s="16"/>
      <c r="I273" s="16"/>
      <c r="J273" s="16"/>
      <c r="K273" s="16"/>
      <c r="L273" s="17"/>
      <c r="M273" s="17"/>
      <c r="N273" s="17"/>
      <c r="O273" s="18"/>
      <c r="P273" s="16"/>
      <c r="Q273" s="16"/>
      <c r="R273" s="19" t="str">
        <f t="shared" si="8"/>
        <v/>
      </c>
      <c r="S273" s="19" t="str">
        <f t="shared" si="9"/>
        <v/>
      </c>
      <c r="T273" s="17"/>
      <c r="U273" s="16"/>
      <c r="V273" s="16"/>
      <c r="W273" s="16"/>
      <c r="X273" s="16"/>
      <c r="Y273" s="16"/>
      <c r="Z273" s="16"/>
      <c r="AA273" s="16"/>
      <c r="AB273" s="20" t="str">
        <f>IF(A273="","",COUNTIF(Variants!$A$3:$A$1502,A273))</f>
        <v/>
      </c>
      <c r="AC273" s="21" t="str">
        <f>IF(A273="","",IF(IF(E273="","description, ","")&amp;IF(AND(O273="",COUNTIFS(Variants!$A$3:$A$1502,A273,Variants!$K$3:$K$1502,"&lt;&gt;")=0),"price, ","")&amp;IF(T273="","image, ","")&amp;IF(B273="","category, ","")&amp;IF(N(AB273)=0,"variant, ","")&amp;IF(AND(P273="Percentage",N(Q273)&gt;100),"discount over 100%, ","")&amp;IF(AND(P273="Fixed amount",O273&lt;&gt;"",N(Q273)&gt;N(O273)),"discount over price, ","")="","Ready","Missing: "&amp;LEFT(IF(E273="","description, ","")&amp;IF(AND(O273="",COUNTIFS(Variants!$A$3:$A$1502,A273,Variants!$K$3:$K$1502,"&lt;&gt;")=0),"price, ","")&amp;IF(T273="","image, ","")&amp;IF(B273="","category, ","")&amp;IF(N(AB273)=0,"variant, ","")&amp;IF(AND(P273="Percentage",N(Q273)&gt;100),"discount over 100%, ","")&amp;IF(AND(P273="Fixed amount",O273&lt;&gt;"",N(Q273)&gt;N(O273)),"discount over price, ",""),LEN(IF(E273="","description, ","")&amp;IF(AND(O273="",COUNTIFS(Variants!$A$3:$A$1502,A273,Variants!$K$3:$K$1502,"&lt;&gt;")=0),"price, ","")&amp;IF(T273="","image, ","")&amp;IF(B273="","category, ","")&amp;IF(N(AB273)=0,"variant, ","")&amp;IF(AND(P273="Percentage",N(Q273)&gt;100),"discount over 100%, ","")&amp;IF(AND(P273="Fixed amount",O273&lt;&gt;"",N(Q273)&gt;N(O273)),"discount over price, ",""))-2)))</f>
        <v/>
      </c>
    </row>
    <row r="274" spans="1:29" x14ac:dyDescent="0.3">
      <c r="A274" s="16"/>
      <c r="B274" s="16"/>
      <c r="C274" s="16"/>
      <c r="D274" s="17"/>
      <c r="E274" s="17"/>
      <c r="F274" s="16"/>
      <c r="G274" s="16"/>
      <c r="H274" s="16"/>
      <c r="I274" s="16"/>
      <c r="J274" s="16"/>
      <c r="K274" s="16"/>
      <c r="L274" s="17"/>
      <c r="M274" s="17"/>
      <c r="N274" s="17"/>
      <c r="O274" s="18"/>
      <c r="P274" s="16"/>
      <c r="Q274" s="16"/>
      <c r="R274" s="19" t="str">
        <f t="shared" si="8"/>
        <v/>
      </c>
      <c r="S274" s="19" t="str">
        <f t="shared" si="9"/>
        <v/>
      </c>
      <c r="T274" s="17"/>
      <c r="U274" s="16"/>
      <c r="V274" s="16"/>
      <c r="W274" s="16"/>
      <c r="X274" s="16"/>
      <c r="Y274" s="16"/>
      <c r="Z274" s="16"/>
      <c r="AA274" s="16"/>
      <c r="AB274" s="20" t="str">
        <f>IF(A274="","",COUNTIF(Variants!$A$3:$A$1502,A274))</f>
        <v/>
      </c>
      <c r="AC274" s="21" t="str">
        <f>IF(A274="","",IF(IF(E274="","description, ","")&amp;IF(AND(O274="",COUNTIFS(Variants!$A$3:$A$1502,A274,Variants!$K$3:$K$1502,"&lt;&gt;")=0),"price, ","")&amp;IF(T274="","image, ","")&amp;IF(B274="","category, ","")&amp;IF(N(AB274)=0,"variant, ","")&amp;IF(AND(P274="Percentage",N(Q274)&gt;100),"discount over 100%, ","")&amp;IF(AND(P274="Fixed amount",O274&lt;&gt;"",N(Q274)&gt;N(O274)),"discount over price, ","")="","Ready","Missing: "&amp;LEFT(IF(E274="","description, ","")&amp;IF(AND(O274="",COUNTIFS(Variants!$A$3:$A$1502,A274,Variants!$K$3:$K$1502,"&lt;&gt;")=0),"price, ","")&amp;IF(T274="","image, ","")&amp;IF(B274="","category, ","")&amp;IF(N(AB274)=0,"variant, ","")&amp;IF(AND(P274="Percentage",N(Q274)&gt;100),"discount over 100%, ","")&amp;IF(AND(P274="Fixed amount",O274&lt;&gt;"",N(Q274)&gt;N(O274)),"discount over price, ",""),LEN(IF(E274="","description, ","")&amp;IF(AND(O274="",COUNTIFS(Variants!$A$3:$A$1502,A274,Variants!$K$3:$K$1502,"&lt;&gt;")=0),"price, ","")&amp;IF(T274="","image, ","")&amp;IF(B274="","category, ","")&amp;IF(N(AB274)=0,"variant, ","")&amp;IF(AND(P274="Percentage",N(Q274)&gt;100),"discount over 100%, ","")&amp;IF(AND(P274="Fixed amount",O274&lt;&gt;"",N(Q274)&gt;N(O274)),"discount over price, ",""))-2)))</f>
        <v/>
      </c>
    </row>
    <row r="275" spans="1:29" x14ac:dyDescent="0.3">
      <c r="A275" s="16"/>
      <c r="B275" s="16"/>
      <c r="C275" s="16"/>
      <c r="D275" s="17"/>
      <c r="E275" s="17"/>
      <c r="F275" s="16"/>
      <c r="G275" s="16"/>
      <c r="H275" s="16"/>
      <c r="I275" s="16"/>
      <c r="J275" s="16"/>
      <c r="K275" s="16"/>
      <c r="L275" s="17"/>
      <c r="M275" s="17"/>
      <c r="N275" s="17"/>
      <c r="O275" s="18"/>
      <c r="P275" s="16"/>
      <c r="Q275" s="16"/>
      <c r="R275" s="19" t="str">
        <f t="shared" si="8"/>
        <v/>
      </c>
      <c r="S275" s="19" t="str">
        <f t="shared" si="9"/>
        <v/>
      </c>
      <c r="T275" s="17"/>
      <c r="U275" s="16"/>
      <c r="V275" s="16"/>
      <c r="W275" s="16"/>
      <c r="X275" s="16"/>
      <c r="Y275" s="16"/>
      <c r="Z275" s="16"/>
      <c r="AA275" s="16"/>
      <c r="AB275" s="20" t="str">
        <f>IF(A275="","",COUNTIF(Variants!$A$3:$A$1502,A275))</f>
        <v/>
      </c>
      <c r="AC275" s="21" t="str">
        <f>IF(A275="","",IF(IF(E275="","description, ","")&amp;IF(AND(O275="",COUNTIFS(Variants!$A$3:$A$1502,A275,Variants!$K$3:$K$1502,"&lt;&gt;")=0),"price, ","")&amp;IF(T275="","image, ","")&amp;IF(B275="","category, ","")&amp;IF(N(AB275)=0,"variant, ","")&amp;IF(AND(P275="Percentage",N(Q275)&gt;100),"discount over 100%, ","")&amp;IF(AND(P275="Fixed amount",O275&lt;&gt;"",N(Q275)&gt;N(O275)),"discount over price, ","")="","Ready","Missing: "&amp;LEFT(IF(E275="","description, ","")&amp;IF(AND(O275="",COUNTIFS(Variants!$A$3:$A$1502,A275,Variants!$K$3:$K$1502,"&lt;&gt;")=0),"price, ","")&amp;IF(T275="","image, ","")&amp;IF(B275="","category, ","")&amp;IF(N(AB275)=0,"variant, ","")&amp;IF(AND(P275="Percentage",N(Q275)&gt;100),"discount over 100%, ","")&amp;IF(AND(P275="Fixed amount",O275&lt;&gt;"",N(Q275)&gt;N(O275)),"discount over price, ",""),LEN(IF(E275="","description, ","")&amp;IF(AND(O275="",COUNTIFS(Variants!$A$3:$A$1502,A275,Variants!$K$3:$K$1502,"&lt;&gt;")=0),"price, ","")&amp;IF(T275="","image, ","")&amp;IF(B275="","category, ","")&amp;IF(N(AB275)=0,"variant, ","")&amp;IF(AND(P275="Percentage",N(Q275)&gt;100),"discount over 100%, ","")&amp;IF(AND(P275="Fixed amount",O275&lt;&gt;"",N(Q275)&gt;N(O275)),"discount over price, ",""))-2)))</f>
        <v/>
      </c>
    </row>
    <row r="276" spans="1:29" x14ac:dyDescent="0.3">
      <c r="A276" s="16"/>
      <c r="B276" s="16"/>
      <c r="C276" s="16"/>
      <c r="D276" s="17"/>
      <c r="E276" s="17"/>
      <c r="F276" s="16"/>
      <c r="G276" s="16"/>
      <c r="H276" s="16"/>
      <c r="I276" s="16"/>
      <c r="J276" s="16"/>
      <c r="K276" s="16"/>
      <c r="L276" s="17"/>
      <c r="M276" s="17"/>
      <c r="N276" s="17"/>
      <c r="O276" s="18"/>
      <c r="P276" s="16"/>
      <c r="Q276" s="16"/>
      <c r="R276" s="19" t="str">
        <f t="shared" si="8"/>
        <v/>
      </c>
      <c r="S276" s="19" t="str">
        <f t="shared" si="9"/>
        <v/>
      </c>
      <c r="T276" s="17"/>
      <c r="U276" s="16"/>
      <c r="V276" s="16"/>
      <c r="W276" s="16"/>
      <c r="X276" s="16"/>
      <c r="Y276" s="16"/>
      <c r="Z276" s="16"/>
      <c r="AA276" s="16"/>
      <c r="AB276" s="20" t="str">
        <f>IF(A276="","",COUNTIF(Variants!$A$3:$A$1502,A276))</f>
        <v/>
      </c>
      <c r="AC276" s="21" t="str">
        <f>IF(A276="","",IF(IF(E276="","description, ","")&amp;IF(AND(O276="",COUNTIFS(Variants!$A$3:$A$1502,A276,Variants!$K$3:$K$1502,"&lt;&gt;")=0),"price, ","")&amp;IF(T276="","image, ","")&amp;IF(B276="","category, ","")&amp;IF(N(AB276)=0,"variant, ","")&amp;IF(AND(P276="Percentage",N(Q276)&gt;100),"discount over 100%, ","")&amp;IF(AND(P276="Fixed amount",O276&lt;&gt;"",N(Q276)&gt;N(O276)),"discount over price, ","")="","Ready","Missing: "&amp;LEFT(IF(E276="","description, ","")&amp;IF(AND(O276="",COUNTIFS(Variants!$A$3:$A$1502,A276,Variants!$K$3:$K$1502,"&lt;&gt;")=0),"price, ","")&amp;IF(T276="","image, ","")&amp;IF(B276="","category, ","")&amp;IF(N(AB276)=0,"variant, ","")&amp;IF(AND(P276="Percentage",N(Q276)&gt;100),"discount over 100%, ","")&amp;IF(AND(P276="Fixed amount",O276&lt;&gt;"",N(Q276)&gt;N(O276)),"discount over price, ",""),LEN(IF(E276="","description, ","")&amp;IF(AND(O276="",COUNTIFS(Variants!$A$3:$A$1502,A276,Variants!$K$3:$K$1502,"&lt;&gt;")=0),"price, ","")&amp;IF(T276="","image, ","")&amp;IF(B276="","category, ","")&amp;IF(N(AB276)=0,"variant, ","")&amp;IF(AND(P276="Percentage",N(Q276)&gt;100),"discount over 100%, ","")&amp;IF(AND(P276="Fixed amount",O276&lt;&gt;"",N(Q276)&gt;N(O276)),"discount over price, ",""))-2)))</f>
        <v/>
      </c>
    </row>
    <row r="277" spans="1:29" x14ac:dyDescent="0.3">
      <c r="A277" s="16"/>
      <c r="B277" s="16"/>
      <c r="C277" s="16"/>
      <c r="D277" s="17"/>
      <c r="E277" s="17"/>
      <c r="F277" s="16"/>
      <c r="G277" s="16"/>
      <c r="H277" s="16"/>
      <c r="I277" s="16"/>
      <c r="J277" s="16"/>
      <c r="K277" s="16"/>
      <c r="L277" s="17"/>
      <c r="M277" s="17"/>
      <c r="N277" s="17"/>
      <c r="O277" s="18"/>
      <c r="P277" s="16"/>
      <c r="Q277" s="16"/>
      <c r="R277" s="19" t="str">
        <f t="shared" si="8"/>
        <v/>
      </c>
      <c r="S277" s="19" t="str">
        <f t="shared" si="9"/>
        <v/>
      </c>
      <c r="T277" s="17"/>
      <c r="U277" s="16"/>
      <c r="V277" s="16"/>
      <c r="W277" s="16"/>
      <c r="X277" s="16"/>
      <c r="Y277" s="16"/>
      <c r="Z277" s="16"/>
      <c r="AA277" s="16"/>
      <c r="AB277" s="20" t="str">
        <f>IF(A277="","",COUNTIF(Variants!$A$3:$A$1502,A277))</f>
        <v/>
      </c>
      <c r="AC277" s="21" t="str">
        <f>IF(A277="","",IF(IF(E277="","description, ","")&amp;IF(AND(O277="",COUNTIFS(Variants!$A$3:$A$1502,A277,Variants!$K$3:$K$1502,"&lt;&gt;")=0),"price, ","")&amp;IF(T277="","image, ","")&amp;IF(B277="","category, ","")&amp;IF(N(AB277)=0,"variant, ","")&amp;IF(AND(P277="Percentage",N(Q277)&gt;100),"discount over 100%, ","")&amp;IF(AND(P277="Fixed amount",O277&lt;&gt;"",N(Q277)&gt;N(O277)),"discount over price, ","")="","Ready","Missing: "&amp;LEFT(IF(E277="","description, ","")&amp;IF(AND(O277="",COUNTIFS(Variants!$A$3:$A$1502,A277,Variants!$K$3:$K$1502,"&lt;&gt;")=0),"price, ","")&amp;IF(T277="","image, ","")&amp;IF(B277="","category, ","")&amp;IF(N(AB277)=0,"variant, ","")&amp;IF(AND(P277="Percentage",N(Q277)&gt;100),"discount over 100%, ","")&amp;IF(AND(P277="Fixed amount",O277&lt;&gt;"",N(Q277)&gt;N(O277)),"discount over price, ",""),LEN(IF(E277="","description, ","")&amp;IF(AND(O277="",COUNTIFS(Variants!$A$3:$A$1502,A277,Variants!$K$3:$K$1502,"&lt;&gt;")=0),"price, ","")&amp;IF(T277="","image, ","")&amp;IF(B277="","category, ","")&amp;IF(N(AB277)=0,"variant, ","")&amp;IF(AND(P277="Percentage",N(Q277)&gt;100),"discount over 100%, ","")&amp;IF(AND(P277="Fixed amount",O277&lt;&gt;"",N(Q277)&gt;N(O277)),"discount over price, ",""))-2)))</f>
        <v/>
      </c>
    </row>
    <row r="278" spans="1:29" x14ac:dyDescent="0.3">
      <c r="A278" s="16"/>
      <c r="B278" s="16"/>
      <c r="C278" s="16"/>
      <c r="D278" s="17"/>
      <c r="E278" s="17"/>
      <c r="F278" s="16"/>
      <c r="G278" s="16"/>
      <c r="H278" s="16"/>
      <c r="I278" s="16"/>
      <c r="J278" s="16"/>
      <c r="K278" s="16"/>
      <c r="L278" s="17"/>
      <c r="M278" s="17"/>
      <c r="N278" s="17"/>
      <c r="O278" s="18"/>
      <c r="P278" s="16"/>
      <c r="Q278" s="16"/>
      <c r="R278" s="19" t="str">
        <f t="shared" si="8"/>
        <v/>
      </c>
      <c r="S278" s="19" t="str">
        <f t="shared" si="9"/>
        <v/>
      </c>
      <c r="T278" s="17"/>
      <c r="U278" s="16"/>
      <c r="V278" s="16"/>
      <c r="W278" s="16"/>
      <c r="X278" s="16"/>
      <c r="Y278" s="16"/>
      <c r="Z278" s="16"/>
      <c r="AA278" s="16"/>
      <c r="AB278" s="20" t="str">
        <f>IF(A278="","",COUNTIF(Variants!$A$3:$A$1502,A278))</f>
        <v/>
      </c>
      <c r="AC278" s="21" t="str">
        <f>IF(A278="","",IF(IF(E278="","description, ","")&amp;IF(AND(O278="",COUNTIFS(Variants!$A$3:$A$1502,A278,Variants!$K$3:$K$1502,"&lt;&gt;")=0),"price, ","")&amp;IF(T278="","image, ","")&amp;IF(B278="","category, ","")&amp;IF(N(AB278)=0,"variant, ","")&amp;IF(AND(P278="Percentage",N(Q278)&gt;100),"discount over 100%, ","")&amp;IF(AND(P278="Fixed amount",O278&lt;&gt;"",N(Q278)&gt;N(O278)),"discount over price, ","")="","Ready","Missing: "&amp;LEFT(IF(E278="","description, ","")&amp;IF(AND(O278="",COUNTIFS(Variants!$A$3:$A$1502,A278,Variants!$K$3:$K$1502,"&lt;&gt;")=0),"price, ","")&amp;IF(T278="","image, ","")&amp;IF(B278="","category, ","")&amp;IF(N(AB278)=0,"variant, ","")&amp;IF(AND(P278="Percentage",N(Q278)&gt;100),"discount over 100%, ","")&amp;IF(AND(P278="Fixed amount",O278&lt;&gt;"",N(Q278)&gt;N(O278)),"discount over price, ",""),LEN(IF(E278="","description, ","")&amp;IF(AND(O278="",COUNTIFS(Variants!$A$3:$A$1502,A278,Variants!$K$3:$K$1502,"&lt;&gt;")=0),"price, ","")&amp;IF(T278="","image, ","")&amp;IF(B278="","category, ","")&amp;IF(N(AB278)=0,"variant, ","")&amp;IF(AND(P278="Percentage",N(Q278)&gt;100),"discount over 100%, ","")&amp;IF(AND(P278="Fixed amount",O278&lt;&gt;"",N(Q278)&gt;N(O278)),"discount over price, ",""))-2)))</f>
        <v/>
      </c>
    </row>
    <row r="279" spans="1:29" x14ac:dyDescent="0.3">
      <c r="A279" s="16"/>
      <c r="B279" s="16"/>
      <c r="C279" s="16"/>
      <c r="D279" s="17"/>
      <c r="E279" s="17"/>
      <c r="F279" s="16"/>
      <c r="G279" s="16"/>
      <c r="H279" s="16"/>
      <c r="I279" s="16"/>
      <c r="J279" s="16"/>
      <c r="K279" s="16"/>
      <c r="L279" s="17"/>
      <c r="M279" s="17"/>
      <c r="N279" s="17"/>
      <c r="O279" s="18"/>
      <c r="P279" s="16"/>
      <c r="Q279" s="16"/>
      <c r="R279" s="19" t="str">
        <f t="shared" si="8"/>
        <v/>
      </c>
      <c r="S279" s="19" t="str">
        <f t="shared" si="9"/>
        <v/>
      </c>
      <c r="T279" s="17"/>
      <c r="U279" s="16"/>
      <c r="V279" s="16"/>
      <c r="W279" s="16"/>
      <c r="X279" s="16"/>
      <c r="Y279" s="16"/>
      <c r="Z279" s="16"/>
      <c r="AA279" s="16"/>
      <c r="AB279" s="20" t="str">
        <f>IF(A279="","",COUNTIF(Variants!$A$3:$A$1502,A279))</f>
        <v/>
      </c>
      <c r="AC279" s="21" t="str">
        <f>IF(A279="","",IF(IF(E279="","description, ","")&amp;IF(AND(O279="",COUNTIFS(Variants!$A$3:$A$1502,A279,Variants!$K$3:$K$1502,"&lt;&gt;")=0),"price, ","")&amp;IF(T279="","image, ","")&amp;IF(B279="","category, ","")&amp;IF(N(AB279)=0,"variant, ","")&amp;IF(AND(P279="Percentage",N(Q279)&gt;100),"discount over 100%, ","")&amp;IF(AND(P279="Fixed amount",O279&lt;&gt;"",N(Q279)&gt;N(O279)),"discount over price, ","")="","Ready","Missing: "&amp;LEFT(IF(E279="","description, ","")&amp;IF(AND(O279="",COUNTIFS(Variants!$A$3:$A$1502,A279,Variants!$K$3:$K$1502,"&lt;&gt;")=0),"price, ","")&amp;IF(T279="","image, ","")&amp;IF(B279="","category, ","")&amp;IF(N(AB279)=0,"variant, ","")&amp;IF(AND(P279="Percentage",N(Q279)&gt;100),"discount over 100%, ","")&amp;IF(AND(P279="Fixed amount",O279&lt;&gt;"",N(Q279)&gt;N(O279)),"discount over price, ",""),LEN(IF(E279="","description, ","")&amp;IF(AND(O279="",COUNTIFS(Variants!$A$3:$A$1502,A279,Variants!$K$3:$K$1502,"&lt;&gt;")=0),"price, ","")&amp;IF(T279="","image, ","")&amp;IF(B279="","category, ","")&amp;IF(N(AB279)=0,"variant, ","")&amp;IF(AND(P279="Percentage",N(Q279)&gt;100),"discount over 100%, ","")&amp;IF(AND(P279="Fixed amount",O279&lt;&gt;"",N(Q279)&gt;N(O279)),"discount over price, ",""))-2)))</f>
        <v/>
      </c>
    </row>
    <row r="280" spans="1:29" x14ac:dyDescent="0.3">
      <c r="A280" s="16"/>
      <c r="B280" s="16"/>
      <c r="C280" s="16"/>
      <c r="D280" s="17"/>
      <c r="E280" s="17"/>
      <c r="F280" s="16"/>
      <c r="G280" s="16"/>
      <c r="H280" s="16"/>
      <c r="I280" s="16"/>
      <c r="J280" s="16"/>
      <c r="K280" s="16"/>
      <c r="L280" s="17"/>
      <c r="M280" s="17"/>
      <c r="N280" s="17"/>
      <c r="O280" s="18"/>
      <c r="P280" s="16"/>
      <c r="Q280" s="16"/>
      <c r="R280" s="19" t="str">
        <f t="shared" si="8"/>
        <v/>
      </c>
      <c r="S280" s="19" t="str">
        <f t="shared" si="9"/>
        <v/>
      </c>
      <c r="T280" s="17"/>
      <c r="U280" s="16"/>
      <c r="V280" s="16"/>
      <c r="W280" s="16"/>
      <c r="X280" s="16"/>
      <c r="Y280" s="16"/>
      <c r="Z280" s="16"/>
      <c r="AA280" s="16"/>
      <c r="AB280" s="20" t="str">
        <f>IF(A280="","",COUNTIF(Variants!$A$3:$A$1502,A280))</f>
        <v/>
      </c>
      <c r="AC280" s="21" t="str">
        <f>IF(A280="","",IF(IF(E280="","description, ","")&amp;IF(AND(O280="",COUNTIFS(Variants!$A$3:$A$1502,A280,Variants!$K$3:$K$1502,"&lt;&gt;")=0),"price, ","")&amp;IF(T280="","image, ","")&amp;IF(B280="","category, ","")&amp;IF(N(AB280)=0,"variant, ","")&amp;IF(AND(P280="Percentage",N(Q280)&gt;100),"discount over 100%, ","")&amp;IF(AND(P280="Fixed amount",O280&lt;&gt;"",N(Q280)&gt;N(O280)),"discount over price, ","")="","Ready","Missing: "&amp;LEFT(IF(E280="","description, ","")&amp;IF(AND(O280="",COUNTIFS(Variants!$A$3:$A$1502,A280,Variants!$K$3:$K$1502,"&lt;&gt;")=0),"price, ","")&amp;IF(T280="","image, ","")&amp;IF(B280="","category, ","")&amp;IF(N(AB280)=0,"variant, ","")&amp;IF(AND(P280="Percentage",N(Q280)&gt;100),"discount over 100%, ","")&amp;IF(AND(P280="Fixed amount",O280&lt;&gt;"",N(Q280)&gt;N(O280)),"discount over price, ",""),LEN(IF(E280="","description, ","")&amp;IF(AND(O280="",COUNTIFS(Variants!$A$3:$A$1502,A280,Variants!$K$3:$K$1502,"&lt;&gt;")=0),"price, ","")&amp;IF(T280="","image, ","")&amp;IF(B280="","category, ","")&amp;IF(N(AB280)=0,"variant, ","")&amp;IF(AND(P280="Percentage",N(Q280)&gt;100),"discount over 100%, ","")&amp;IF(AND(P280="Fixed amount",O280&lt;&gt;"",N(Q280)&gt;N(O280)),"discount over price, ",""))-2)))</f>
        <v/>
      </c>
    </row>
    <row r="281" spans="1:29" x14ac:dyDescent="0.3">
      <c r="A281" s="16"/>
      <c r="B281" s="16"/>
      <c r="C281" s="16"/>
      <c r="D281" s="17"/>
      <c r="E281" s="17"/>
      <c r="F281" s="16"/>
      <c r="G281" s="16"/>
      <c r="H281" s="16"/>
      <c r="I281" s="16"/>
      <c r="J281" s="16"/>
      <c r="K281" s="16"/>
      <c r="L281" s="17"/>
      <c r="M281" s="17"/>
      <c r="N281" s="17"/>
      <c r="O281" s="18"/>
      <c r="P281" s="16"/>
      <c r="Q281" s="16"/>
      <c r="R281" s="19" t="str">
        <f t="shared" si="8"/>
        <v/>
      </c>
      <c r="S281" s="19" t="str">
        <f t="shared" si="9"/>
        <v/>
      </c>
      <c r="T281" s="17"/>
      <c r="U281" s="16"/>
      <c r="V281" s="16"/>
      <c r="W281" s="16"/>
      <c r="X281" s="16"/>
      <c r="Y281" s="16"/>
      <c r="Z281" s="16"/>
      <c r="AA281" s="16"/>
      <c r="AB281" s="20" t="str">
        <f>IF(A281="","",COUNTIF(Variants!$A$3:$A$1502,A281))</f>
        <v/>
      </c>
      <c r="AC281" s="21" t="str">
        <f>IF(A281="","",IF(IF(E281="","description, ","")&amp;IF(AND(O281="",COUNTIFS(Variants!$A$3:$A$1502,A281,Variants!$K$3:$K$1502,"&lt;&gt;")=0),"price, ","")&amp;IF(T281="","image, ","")&amp;IF(B281="","category, ","")&amp;IF(N(AB281)=0,"variant, ","")&amp;IF(AND(P281="Percentage",N(Q281)&gt;100),"discount over 100%, ","")&amp;IF(AND(P281="Fixed amount",O281&lt;&gt;"",N(Q281)&gt;N(O281)),"discount over price, ","")="","Ready","Missing: "&amp;LEFT(IF(E281="","description, ","")&amp;IF(AND(O281="",COUNTIFS(Variants!$A$3:$A$1502,A281,Variants!$K$3:$K$1502,"&lt;&gt;")=0),"price, ","")&amp;IF(T281="","image, ","")&amp;IF(B281="","category, ","")&amp;IF(N(AB281)=0,"variant, ","")&amp;IF(AND(P281="Percentage",N(Q281)&gt;100),"discount over 100%, ","")&amp;IF(AND(P281="Fixed amount",O281&lt;&gt;"",N(Q281)&gt;N(O281)),"discount over price, ",""),LEN(IF(E281="","description, ","")&amp;IF(AND(O281="",COUNTIFS(Variants!$A$3:$A$1502,A281,Variants!$K$3:$K$1502,"&lt;&gt;")=0),"price, ","")&amp;IF(T281="","image, ","")&amp;IF(B281="","category, ","")&amp;IF(N(AB281)=0,"variant, ","")&amp;IF(AND(P281="Percentage",N(Q281)&gt;100),"discount over 100%, ","")&amp;IF(AND(P281="Fixed amount",O281&lt;&gt;"",N(Q281)&gt;N(O281)),"discount over price, ",""))-2)))</f>
        <v/>
      </c>
    </row>
    <row r="282" spans="1:29" x14ac:dyDescent="0.3">
      <c r="A282" s="16"/>
      <c r="B282" s="16"/>
      <c r="C282" s="16"/>
      <c r="D282" s="17"/>
      <c r="E282" s="17"/>
      <c r="F282" s="16"/>
      <c r="G282" s="16"/>
      <c r="H282" s="16"/>
      <c r="I282" s="16"/>
      <c r="J282" s="16"/>
      <c r="K282" s="16"/>
      <c r="L282" s="17"/>
      <c r="M282" s="17"/>
      <c r="N282" s="17"/>
      <c r="O282" s="18"/>
      <c r="P282" s="16"/>
      <c r="Q282" s="16"/>
      <c r="R282" s="19" t="str">
        <f t="shared" si="8"/>
        <v/>
      </c>
      <c r="S282" s="19" t="str">
        <f t="shared" si="9"/>
        <v/>
      </c>
      <c r="T282" s="17"/>
      <c r="U282" s="16"/>
      <c r="V282" s="16"/>
      <c r="W282" s="16"/>
      <c r="X282" s="16"/>
      <c r="Y282" s="16"/>
      <c r="Z282" s="16"/>
      <c r="AA282" s="16"/>
      <c r="AB282" s="20" t="str">
        <f>IF(A282="","",COUNTIF(Variants!$A$3:$A$1502,A282))</f>
        <v/>
      </c>
      <c r="AC282" s="21" t="str">
        <f>IF(A282="","",IF(IF(E282="","description, ","")&amp;IF(AND(O282="",COUNTIFS(Variants!$A$3:$A$1502,A282,Variants!$K$3:$K$1502,"&lt;&gt;")=0),"price, ","")&amp;IF(T282="","image, ","")&amp;IF(B282="","category, ","")&amp;IF(N(AB282)=0,"variant, ","")&amp;IF(AND(P282="Percentage",N(Q282)&gt;100),"discount over 100%, ","")&amp;IF(AND(P282="Fixed amount",O282&lt;&gt;"",N(Q282)&gt;N(O282)),"discount over price, ","")="","Ready","Missing: "&amp;LEFT(IF(E282="","description, ","")&amp;IF(AND(O282="",COUNTIFS(Variants!$A$3:$A$1502,A282,Variants!$K$3:$K$1502,"&lt;&gt;")=0),"price, ","")&amp;IF(T282="","image, ","")&amp;IF(B282="","category, ","")&amp;IF(N(AB282)=0,"variant, ","")&amp;IF(AND(P282="Percentage",N(Q282)&gt;100),"discount over 100%, ","")&amp;IF(AND(P282="Fixed amount",O282&lt;&gt;"",N(Q282)&gt;N(O282)),"discount over price, ",""),LEN(IF(E282="","description, ","")&amp;IF(AND(O282="",COUNTIFS(Variants!$A$3:$A$1502,A282,Variants!$K$3:$K$1502,"&lt;&gt;")=0),"price, ","")&amp;IF(T282="","image, ","")&amp;IF(B282="","category, ","")&amp;IF(N(AB282)=0,"variant, ","")&amp;IF(AND(P282="Percentage",N(Q282)&gt;100),"discount over 100%, ","")&amp;IF(AND(P282="Fixed amount",O282&lt;&gt;"",N(Q282)&gt;N(O282)),"discount over price, ",""))-2)))</f>
        <v/>
      </c>
    </row>
    <row r="283" spans="1:29" x14ac:dyDescent="0.3">
      <c r="A283" s="16"/>
      <c r="B283" s="16"/>
      <c r="C283" s="16"/>
      <c r="D283" s="17"/>
      <c r="E283" s="17"/>
      <c r="F283" s="16"/>
      <c r="G283" s="16"/>
      <c r="H283" s="16"/>
      <c r="I283" s="16"/>
      <c r="J283" s="16"/>
      <c r="K283" s="16"/>
      <c r="L283" s="17"/>
      <c r="M283" s="17"/>
      <c r="N283" s="17"/>
      <c r="O283" s="18"/>
      <c r="P283" s="16"/>
      <c r="Q283" s="16"/>
      <c r="R283" s="19" t="str">
        <f t="shared" si="8"/>
        <v/>
      </c>
      <c r="S283" s="19" t="str">
        <f t="shared" si="9"/>
        <v/>
      </c>
      <c r="T283" s="17"/>
      <c r="U283" s="16"/>
      <c r="V283" s="16"/>
      <c r="W283" s="16"/>
      <c r="X283" s="16"/>
      <c r="Y283" s="16"/>
      <c r="Z283" s="16"/>
      <c r="AA283" s="16"/>
      <c r="AB283" s="20" t="str">
        <f>IF(A283="","",COUNTIF(Variants!$A$3:$A$1502,A283))</f>
        <v/>
      </c>
      <c r="AC283" s="21" t="str">
        <f>IF(A283="","",IF(IF(E283="","description, ","")&amp;IF(AND(O283="",COUNTIFS(Variants!$A$3:$A$1502,A283,Variants!$K$3:$K$1502,"&lt;&gt;")=0),"price, ","")&amp;IF(T283="","image, ","")&amp;IF(B283="","category, ","")&amp;IF(N(AB283)=0,"variant, ","")&amp;IF(AND(P283="Percentage",N(Q283)&gt;100),"discount over 100%, ","")&amp;IF(AND(P283="Fixed amount",O283&lt;&gt;"",N(Q283)&gt;N(O283)),"discount over price, ","")="","Ready","Missing: "&amp;LEFT(IF(E283="","description, ","")&amp;IF(AND(O283="",COUNTIFS(Variants!$A$3:$A$1502,A283,Variants!$K$3:$K$1502,"&lt;&gt;")=0),"price, ","")&amp;IF(T283="","image, ","")&amp;IF(B283="","category, ","")&amp;IF(N(AB283)=0,"variant, ","")&amp;IF(AND(P283="Percentage",N(Q283)&gt;100),"discount over 100%, ","")&amp;IF(AND(P283="Fixed amount",O283&lt;&gt;"",N(Q283)&gt;N(O283)),"discount over price, ",""),LEN(IF(E283="","description, ","")&amp;IF(AND(O283="",COUNTIFS(Variants!$A$3:$A$1502,A283,Variants!$K$3:$K$1502,"&lt;&gt;")=0),"price, ","")&amp;IF(T283="","image, ","")&amp;IF(B283="","category, ","")&amp;IF(N(AB283)=0,"variant, ","")&amp;IF(AND(P283="Percentage",N(Q283)&gt;100),"discount over 100%, ","")&amp;IF(AND(P283="Fixed amount",O283&lt;&gt;"",N(Q283)&gt;N(O283)),"discount over price, ",""))-2)))</f>
        <v/>
      </c>
    </row>
    <row r="284" spans="1:29" x14ac:dyDescent="0.3">
      <c r="A284" s="16"/>
      <c r="B284" s="16"/>
      <c r="C284" s="16"/>
      <c r="D284" s="17"/>
      <c r="E284" s="17"/>
      <c r="F284" s="16"/>
      <c r="G284" s="16"/>
      <c r="H284" s="16"/>
      <c r="I284" s="16"/>
      <c r="J284" s="16"/>
      <c r="K284" s="16"/>
      <c r="L284" s="17"/>
      <c r="M284" s="17"/>
      <c r="N284" s="17"/>
      <c r="O284" s="18"/>
      <c r="P284" s="16"/>
      <c r="Q284" s="16"/>
      <c r="R284" s="19" t="str">
        <f t="shared" si="8"/>
        <v/>
      </c>
      <c r="S284" s="19" t="str">
        <f t="shared" si="9"/>
        <v/>
      </c>
      <c r="T284" s="17"/>
      <c r="U284" s="16"/>
      <c r="V284" s="16"/>
      <c r="W284" s="16"/>
      <c r="X284" s="16"/>
      <c r="Y284" s="16"/>
      <c r="Z284" s="16"/>
      <c r="AA284" s="16"/>
      <c r="AB284" s="20" t="str">
        <f>IF(A284="","",COUNTIF(Variants!$A$3:$A$1502,A284))</f>
        <v/>
      </c>
      <c r="AC284" s="21" t="str">
        <f>IF(A284="","",IF(IF(E284="","description, ","")&amp;IF(AND(O284="",COUNTIFS(Variants!$A$3:$A$1502,A284,Variants!$K$3:$K$1502,"&lt;&gt;")=0),"price, ","")&amp;IF(T284="","image, ","")&amp;IF(B284="","category, ","")&amp;IF(N(AB284)=0,"variant, ","")&amp;IF(AND(P284="Percentage",N(Q284)&gt;100),"discount over 100%, ","")&amp;IF(AND(P284="Fixed amount",O284&lt;&gt;"",N(Q284)&gt;N(O284)),"discount over price, ","")="","Ready","Missing: "&amp;LEFT(IF(E284="","description, ","")&amp;IF(AND(O284="",COUNTIFS(Variants!$A$3:$A$1502,A284,Variants!$K$3:$K$1502,"&lt;&gt;")=0),"price, ","")&amp;IF(T284="","image, ","")&amp;IF(B284="","category, ","")&amp;IF(N(AB284)=0,"variant, ","")&amp;IF(AND(P284="Percentage",N(Q284)&gt;100),"discount over 100%, ","")&amp;IF(AND(P284="Fixed amount",O284&lt;&gt;"",N(Q284)&gt;N(O284)),"discount over price, ",""),LEN(IF(E284="","description, ","")&amp;IF(AND(O284="",COUNTIFS(Variants!$A$3:$A$1502,A284,Variants!$K$3:$K$1502,"&lt;&gt;")=0),"price, ","")&amp;IF(T284="","image, ","")&amp;IF(B284="","category, ","")&amp;IF(N(AB284)=0,"variant, ","")&amp;IF(AND(P284="Percentage",N(Q284)&gt;100),"discount over 100%, ","")&amp;IF(AND(P284="Fixed amount",O284&lt;&gt;"",N(Q284)&gt;N(O284)),"discount over price, ",""))-2)))</f>
        <v/>
      </c>
    </row>
    <row r="285" spans="1:29" x14ac:dyDescent="0.3">
      <c r="A285" s="16"/>
      <c r="B285" s="16"/>
      <c r="C285" s="16"/>
      <c r="D285" s="17"/>
      <c r="E285" s="17"/>
      <c r="F285" s="16"/>
      <c r="G285" s="16"/>
      <c r="H285" s="16"/>
      <c r="I285" s="16"/>
      <c r="J285" s="16"/>
      <c r="K285" s="16"/>
      <c r="L285" s="17"/>
      <c r="M285" s="17"/>
      <c r="N285" s="17"/>
      <c r="O285" s="18"/>
      <c r="P285" s="16"/>
      <c r="Q285" s="16"/>
      <c r="R285" s="19" t="str">
        <f t="shared" si="8"/>
        <v/>
      </c>
      <c r="S285" s="19" t="str">
        <f t="shared" si="9"/>
        <v/>
      </c>
      <c r="T285" s="17"/>
      <c r="U285" s="16"/>
      <c r="V285" s="16"/>
      <c r="W285" s="16"/>
      <c r="X285" s="16"/>
      <c r="Y285" s="16"/>
      <c r="Z285" s="16"/>
      <c r="AA285" s="16"/>
      <c r="AB285" s="20" t="str">
        <f>IF(A285="","",COUNTIF(Variants!$A$3:$A$1502,A285))</f>
        <v/>
      </c>
      <c r="AC285" s="21" t="str">
        <f>IF(A285="","",IF(IF(E285="","description, ","")&amp;IF(AND(O285="",COUNTIFS(Variants!$A$3:$A$1502,A285,Variants!$K$3:$K$1502,"&lt;&gt;")=0),"price, ","")&amp;IF(T285="","image, ","")&amp;IF(B285="","category, ","")&amp;IF(N(AB285)=0,"variant, ","")&amp;IF(AND(P285="Percentage",N(Q285)&gt;100),"discount over 100%, ","")&amp;IF(AND(P285="Fixed amount",O285&lt;&gt;"",N(Q285)&gt;N(O285)),"discount over price, ","")="","Ready","Missing: "&amp;LEFT(IF(E285="","description, ","")&amp;IF(AND(O285="",COUNTIFS(Variants!$A$3:$A$1502,A285,Variants!$K$3:$K$1502,"&lt;&gt;")=0),"price, ","")&amp;IF(T285="","image, ","")&amp;IF(B285="","category, ","")&amp;IF(N(AB285)=0,"variant, ","")&amp;IF(AND(P285="Percentage",N(Q285)&gt;100),"discount over 100%, ","")&amp;IF(AND(P285="Fixed amount",O285&lt;&gt;"",N(Q285)&gt;N(O285)),"discount over price, ",""),LEN(IF(E285="","description, ","")&amp;IF(AND(O285="",COUNTIFS(Variants!$A$3:$A$1502,A285,Variants!$K$3:$K$1502,"&lt;&gt;")=0),"price, ","")&amp;IF(T285="","image, ","")&amp;IF(B285="","category, ","")&amp;IF(N(AB285)=0,"variant, ","")&amp;IF(AND(P285="Percentage",N(Q285)&gt;100),"discount over 100%, ","")&amp;IF(AND(P285="Fixed amount",O285&lt;&gt;"",N(Q285)&gt;N(O285)),"discount over price, ",""))-2)))</f>
        <v/>
      </c>
    </row>
    <row r="286" spans="1:29" x14ac:dyDescent="0.3">
      <c r="A286" s="16"/>
      <c r="B286" s="16"/>
      <c r="C286" s="16"/>
      <c r="D286" s="17"/>
      <c r="E286" s="17"/>
      <c r="F286" s="16"/>
      <c r="G286" s="16"/>
      <c r="H286" s="16"/>
      <c r="I286" s="16"/>
      <c r="J286" s="16"/>
      <c r="K286" s="16"/>
      <c r="L286" s="17"/>
      <c r="M286" s="17"/>
      <c r="N286" s="17"/>
      <c r="O286" s="18"/>
      <c r="P286" s="16"/>
      <c r="Q286" s="16"/>
      <c r="R286" s="19" t="str">
        <f t="shared" si="8"/>
        <v/>
      </c>
      <c r="S286" s="19" t="str">
        <f t="shared" si="9"/>
        <v/>
      </c>
      <c r="T286" s="17"/>
      <c r="U286" s="16"/>
      <c r="V286" s="16"/>
      <c r="W286" s="16"/>
      <c r="X286" s="16"/>
      <c r="Y286" s="16"/>
      <c r="Z286" s="16"/>
      <c r="AA286" s="16"/>
      <c r="AB286" s="20" t="str">
        <f>IF(A286="","",COUNTIF(Variants!$A$3:$A$1502,A286))</f>
        <v/>
      </c>
      <c r="AC286" s="21" t="str">
        <f>IF(A286="","",IF(IF(E286="","description, ","")&amp;IF(AND(O286="",COUNTIFS(Variants!$A$3:$A$1502,A286,Variants!$K$3:$K$1502,"&lt;&gt;")=0),"price, ","")&amp;IF(T286="","image, ","")&amp;IF(B286="","category, ","")&amp;IF(N(AB286)=0,"variant, ","")&amp;IF(AND(P286="Percentage",N(Q286)&gt;100),"discount over 100%, ","")&amp;IF(AND(P286="Fixed amount",O286&lt;&gt;"",N(Q286)&gt;N(O286)),"discount over price, ","")="","Ready","Missing: "&amp;LEFT(IF(E286="","description, ","")&amp;IF(AND(O286="",COUNTIFS(Variants!$A$3:$A$1502,A286,Variants!$K$3:$K$1502,"&lt;&gt;")=0),"price, ","")&amp;IF(T286="","image, ","")&amp;IF(B286="","category, ","")&amp;IF(N(AB286)=0,"variant, ","")&amp;IF(AND(P286="Percentage",N(Q286)&gt;100),"discount over 100%, ","")&amp;IF(AND(P286="Fixed amount",O286&lt;&gt;"",N(Q286)&gt;N(O286)),"discount over price, ",""),LEN(IF(E286="","description, ","")&amp;IF(AND(O286="",COUNTIFS(Variants!$A$3:$A$1502,A286,Variants!$K$3:$K$1502,"&lt;&gt;")=0),"price, ","")&amp;IF(T286="","image, ","")&amp;IF(B286="","category, ","")&amp;IF(N(AB286)=0,"variant, ","")&amp;IF(AND(P286="Percentage",N(Q286)&gt;100),"discount over 100%, ","")&amp;IF(AND(P286="Fixed amount",O286&lt;&gt;"",N(Q286)&gt;N(O286)),"discount over price, ",""))-2)))</f>
        <v/>
      </c>
    </row>
    <row r="287" spans="1:29" x14ac:dyDescent="0.3">
      <c r="A287" s="16"/>
      <c r="B287" s="16"/>
      <c r="C287" s="16"/>
      <c r="D287" s="17"/>
      <c r="E287" s="17"/>
      <c r="F287" s="16"/>
      <c r="G287" s="16"/>
      <c r="H287" s="16"/>
      <c r="I287" s="16"/>
      <c r="J287" s="16"/>
      <c r="K287" s="16"/>
      <c r="L287" s="17"/>
      <c r="M287" s="17"/>
      <c r="N287" s="17"/>
      <c r="O287" s="18"/>
      <c r="P287" s="16"/>
      <c r="Q287" s="16"/>
      <c r="R287" s="19" t="str">
        <f t="shared" si="8"/>
        <v/>
      </c>
      <c r="S287" s="19" t="str">
        <f t="shared" si="9"/>
        <v/>
      </c>
      <c r="T287" s="17"/>
      <c r="U287" s="16"/>
      <c r="V287" s="16"/>
      <c r="W287" s="16"/>
      <c r="X287" s="16"/>
      <c r="Y287" s="16"/>
      <c r="Z287" s="16"/>
      <c r="AA287" s="16"/>
      <c r="AB287" s="20" t="str">
        <f>IF(A287="","",COUNTIF(Variants!$A$3:$A$1502,A287))</f>
        <v/>
      </c>
      <c r="AC287" s="21" t="str">
        <f>IF(A287="","",IF(IF(E287="","description, ","")&amp;IF(AND(O287="",COUNTIFS(Variants!$A$3:$A$1502,A287,Variants!$K$3:$K$1502,"&lt;&gt;")=0),"price, ","")&amp;IF(T287="","image, ","")&amp;IF(B287="","category, ","")&amp;IF(N(AB287)=0,"variant, ","")&amp;IF(AND(P287="Percentage",N(Q287)&gt;100),"discount over 100%, ","")&amp;IF(AND(P287="Fixed amount",O287&lt;&gt;"",N(Q287)&gt;N(O287)),"discount over price, ","")="","Ready","Missing: "&amp;LEFT(IF(E287="","description, ","")&amp;IF(AND(O287="",COUNTIFS(Variants!$A$3:$A$1502,A287,Variants!$K$3:$K$1502,"&lt;&gt;")=0),"price, ","")&amp;IF(T287="","image, ","")&amp;IF(B287="","category, ","")&amp;IF(N(AB287)=0,"variant, ","")&amp;IF(AND(P287="Percentage",N(Q287)&gt;100),"discount over 100%, ","")&amp;IF(AND(P287="Fixed amount",O287&lt;&gt;"",N(Q287)&gt;N(O287)),"discount over price, ",""),LEN(IF(E287="","description, ","")&amp;IF(AND(O287="",COUNTIFS(Variants!$A$3:$A$1502,A287,Variants!$K$3:$K$1502,"&lt;&gt;")=0),"price, ","")&amp;IF(T287="","image, ","")&amp;IF(B287="","category, ","")&amp;IF(N(AB287)=0,"variant, ","")&amp;IF(AND(P287="Percentage",N(Q287)&gt;100),"discount over 100%, ","")&amp;IF(AND(P287="Fixed amount",O287&lt;&gt;"",N(Q287)&gt;N(O287)),"discount over price, ",""))-2)))</f>
        <v/>
      </c>
    </row>
    <row r="288" spans="1:29" x14ac:dyDescent="0.3">
      <c r="A288" s="16"/>
      <c r="B288" s="16"/>
      <c r="C288" s="16"/>
      <c r="D288" s="17"/>
      <c r="E288" s="17"/>
      <c r="F288" s="16"/>
      <c r="G288" s="16"/>
      <c r="H288" s="16"/>
      <c r="I288" s="16"/>
      <c r="J288" s="16"/>
      <c r="K288" s="16"/>
      <c r="L288" s="17"/>
      <c r="M288" s="17"/>
      <c r="N288" s="17"/>
      <c r="O288" s="18"/>
      <c r="P288" s="16"/>
      <c r="Q288" s="16"/>
      <c r="R288" s="19" t="str">
        <f t="shared" si="8"/>
        <v/>
      </c>
      <c r="S288" s="19" t="str">
        <f t="shared" si="9"/>
        <v/>
      </c>
      <c r="T288" s="17"/>
      <c r="U288" s="16"/>
      <c r="V288" s="16"/>
      <c r="W288" s="16"/>
      <c r="X288" s="16"/>
      <c r="Y288" s="16"/>
      <c r="Z288" s="16"/>
      <c r="AA288" s="16"/>
      <c r="AB288" s="20" t="str">
        <f>IF(A288="","",COUNTIF(Variants!$A$3:$A$1502,A288))</f>
        <v/>
      </c>
      <c r="AC288" s="21" t="str">
        <f>IF(A288="","",IF(IF(E288="","description, ","")&amp;IF(AND(O288="",COUNTIFS(Variants!$A$3:$A$1502,A288,Variants!$K$3:$K$1502,"&lt;&gt;")=0),"price, ","")&amp;IF(T288="","image, ","")&amp;IF(B288="","category, ","")&amp;IF(N(AB288)=0,"variant, ","")&amp;IF(AND(P288="Percentage",N(Q288)&gt;100),"discount over 100%, ","")&amp;IF(AND(P288="Fixed amount",O288&lt;&gt;"",N(Q288)&gt;N(O288)),"discount over price, ","")="","Ready","Missing: "&amp;LEFT(IF(E288="","description, ","")&amp;IF(AND(O288="",COUNTIFS(Variants!$A$3:$A$1502,A288,Variants!$K$3:$K$1502,"&lt;&gt;")=0),"price, ","")&amp;IF(T288="","image, ","")&amp;IF(B288="","category, ","")&amp;IF(N(AB288)=0,"variant, ","")&amp;IF(AND(P288="Percentage",N(Q288)&gt;100),"discount over 100%, ","")&amp;IF(AND(P288="Fixed amount",O288&lt;&gt;"",N(Q288)&gt;N(O288)),"discount over price, ",""),LEN(IF(E288="","description, ","")&amp;IF(AND(O288="",COUNTIFS(Variants!$A$3:$A$1502,A288,Variants!$K$3:$K$1502,"&lt;&gt;")=0),"price, ","")&amp;IF(T288="","image, ","")&amp;IF(B288="","category, ","")&amp;IF(N(AB288)=0,"variant, ","")&amp;IF(AND(P288="Percentage",N(Q288)&gt;100),"discount over 100%, ","")&amp;IF(AND(P288="Fixed amount",O288&lt;&gt;"",N(Q288)&gt;N(O288)),"discount over price, ",""))-2)))</f>
        <v/>
      </c>
    </row>
    <row r="289" spans="1:29" x14ac:dyDescent="0.3">
      <c r="A289" s="16"/>
      <c r="B289" s="16"/>
      <c r="C289" s="16"/>
      <c r="D289" s="17"/>
      <c r="E289" s="17"/>
      <c r="F289" s="16"/>
      <c r="G289" s="16"/>
      <c r="H289" s="16"/>
      <c r="I289" s="16"/>
      <c r="J289" s="16"/>
      <c r="K289" s="16"/>
      <c r="L289" s="17"/>
      <c r="M289" s="17"/>
      <c r="N289" s="17"/>
      <c r="O289" s="18"/>
      <c r="P289" s="16"/>
      <c r="Q289" s="16"/>
      <c r="R289" s="19" t="str">
        <f t="shared" si="8"/>
        <v/>
      </c>
      <c r="S289" s="19" t="str">
        <f t="shared" si="9"/>
        <v/>
      </c>
      <c r="T289" s="17"/>
      <c r="U289" s="16"/>
      <c r="V289" s="16"/>
      <c r="W289" s="16"/>
      <c r="X289" s="16"/>
      <c r="Y289" s="16"/>
      <c r="Z289" s="16"/>
      <c r="AA289" s="16"/>
      <c r="AB289" s="20" t="str">
        <f>IF(A289="","",COUNTIF(Variants!$A$3:$A$1502,A289))</f>
        <v/>
      </c>
      <c r="AC289" s="21" t="str">
        <f>IF(A289="","",IF(IF(E289="","description, ","")&amp;IF(AND(O289="",COUNTIFS(Variants!$A$3:$A$1502,A289,Variants!$K$3:$K$1502,"&lt;&gt;")=0),"price, ","")&amp;IF(T289="","image, ","")&amp;IF(B289="","category, ","")&amp;IF(N(AB289)=0,"variant, ","")&amp;IF(AND(P289="Percentage",N(Q289)&gt;100),"discount over 100%, ","")&amp;IF(AND(P289="Fixed amount",O289&lt;&gt;"",N(Q289)&gt;N(O289)),"discount over price, ","")="","Ready","Missing: "&amp;LEFT(IF(E289="","description, ","")&amp;IF(AND(O289="",COUNTIFS(Variants!$A$3:$A$1502,A289,Variants!$K$3:$K$1502,"&lt;&gt;")=0),"price, ","")&amp;IF(T289="","image, ","")&amp;IF(B289="","category, ","")&amp;IF(N(AB289)=0,"variant, ","")&amp;IF(AND(P289="Percentage",N(Q289)&gt;100),"discount over 100%, ","")&amp;IF(AND(P289="Fixed amount",O289&lt;&gt;"",N(Q289)&gt;N(O289)),"discount over price, ",""),LEN(IF(E289="","description, ","")&amp;IF(AND(O289="",COUNTIFS(Variants!$A$3:$A$1502,A289,Variants!$K$3:$K$1502,"&lt;&gt;")=0),"price, ","")&amp;IF(T289="","image, ","")&amp;IF(B289="","category, ","")&amp;IF(N(AB289)=0,"variant, ","")&amp;IF(AND(P289="Percentage",N(Q289)&gt;100),"discount over 100%, ","")&amp;IF(AND(P289="Fixed amount",O289&lt;&gt;"",N(Q289)&gt;N(O289)),"discount over price, ",""))-2)))</f>
        <v/>
      </c>
    </row>
    <row r="290" spans="1:29" x14ac:dyDescent="0.3">
      <c r="A290" s="16"/>
      <c r="B290" s="16"/>
      <c r="C290" s="16"/>
      <c r="D290" s="17"/>
      <c r="E290" s="17"/>
      <c r="F290" s="16"/>
      <c r="G290" s="16"/>
      <c r="H290" s="16"/>
      <c r="I290" s="16"/>
      <c r="J290" s="16"/>
      <c r="K290" s="16"/>
      <c r="L290" s="17"/>
      <c r="M290" s="17"/>
      <c r="N290" s="17"/>
      <c r="O290" s="18"/>
      <c r="P290" s="16"/>
      <c r="Q290" s="16"/>
      <c r="R290" s="19" t="str">
        <f t="shared" si="8"/>
        <v/>
      </c>
      <c r="S290" s="19" t="str">
        <f t="shared" si="9"/>
        <v/>
      </c>
      <c r="T290" s="17"/>
      <c r="U290" s="16"/>
      <c r="V290" s="16"/>
      <c r="W290" s="16"/>
      <c r="X290" s="16"/>
      <c r="Y290" s="16"/>
      <c r="Z290" s="16"/>
      <c r="AA290" s="16"/>
      <c r="AB290" s="20" t="str">
        <f>IF(A290="","",COUNTIF(Variants!$A$3:$A$1502,A290))</f>
        <v/>
      </c>
      <c r="AC290" s="21" t="str">
        <f>IF(A290="","",IF(IF(E290="","description, ","")&amp;IF(AND(O290="",COUNTIFS(Variants!$A$3:$A$1502,A290,Variants!$K$3:$K$1502,"&lt;&gt;")=0),"price, ","")&amp;IF(T290="","image, ","")&amp;IF(B290="","category, ","")&amp;IF(N(AB290)=0,"variant, ","")&amp;IF(AND(P290="Percentage",N(Q290)&gt;100),"discount over 100%, ","")&amp;IF(AND(P290="Fixed amount",O290&lt;&gt;"",N(Q290)&gt;N(O290)),"discount over price, ","")="","Ready","Missing: "&amp;LEFT(IF(E290="","description, ","")&amp;IF(AND(O290="",COUNTIFS(Variants!$A$3:$A$1502,A290,Variants!$K$3:$K$1502,"&lt;&gt;")=0),"price, ","")&amp;IF(T290="","image, ","")&amp;IF(B290="","category, ","")&amp;IF(N(AB290)=0,"variant, ","")&amp;IF(AND(P290="Percentage",N(Q290)&gt;100),"discount over 100%, ","")&amp;IF(AND(P290="Fixed amount",O290&lt;&gt;"",N(Q290)&gt;N(O290)),"discount over price, ",""),LEN(IF(E290="","description, ","")&amp;IF(AND(O290="",COUNTIFS(Variants!$A$3:$A$1502,A290,Variants!$K$3:$K$1502,"&lt;&gt;")=0),"price, ","")&amp;IF(T290="","image, ","")&amp;IF(B290="","category, ","")&amp;IF(N(AB290)=0,"variant, ","")&amp;IF(AND(P290="Percentage",N(Q290)&gt;100),"discount over 100%, ","")&amp;IF(AND(P290="Fixed amount",O290&lt;&gt;"",N(Q290)&gt;N(O290)),"discount over price, ",""))-2)))</f>
        <v/>
      </c>
    </row>
    <row r="291" spans="1:29" x14ac:dyDescent="0.3">
      <c r="A291" s="16"/>
      <c r="B291" s="16"/>
      <c r="C291" s="16"/>
      <c r="D291" s="17"/>
      <c r="E291" s="17"/>
      <c r="F291" s="16"/>
      <c r="G291" s="16"/>
      <c r="H291" s="16"/>
      <c r="I291" s="16"/>
      <c r="J291" s="16"/>
      <c r="K291" s="16"/>
      <c r="L291" s="17"/>
      <c r="M291" s="17"/>
      <c r="N291" s="17"/>
      <c r="O291" s="18"/>
      <c r="P291" s="16"/>
      <c r="Q291" s="16"/>
      <c r="R291" s="19" t="str">
        <f t="shared" si="8"/>
        <v/>
      </c>
      <c r="S291" s="19" t="str">
        <f t="shared" si="9"/>
        <v/>
      </c>
      <c r="T291" s="17"/>
      <c r="U291" s="16"/>
      <c r="V291" s="16"/>
      <c r="W291" s="16"/>
      <c r="X291" s="16"/>
      <c r="Y291" s="16"/>
      <c r="Z291" s="16"/>
      <c r="AA291" s="16"/>
      <c r="AB291" s="20" t="str">
        <f>IF(A291="","",COUNTIF(Variants!$A$3:$A$1502,A291))</f>
        <v/>
      </c>
      <c r="AC291" s="21" t="str">
        <f>IF(A291="","",IF(IF(E291="","description, ","")&amp;IF(AND(O291="",COUNTIFS(Variants!$A$3:$A$1502,A291,Variants!$K$3:$K$1502,"&lt;&gt;")=0),"price, ","")&amp;IF(T291="","image, ","")&amp;IF(B291="","category, ","")&amp;IF(N(AB291)=0,"variant, ","")&amp;IF(AND(P291="Percentage",N(Q291)&gt;100),"discount over 100%, ","")&amp;IF(AND(P291="Fixed amount",O291&lt;&gt;"",N(Q291)&gt;N(O291)),"discount over price, ","")="","Ready","Missing: "&amp;LEFT(IF(E291="","description, ","")&amp;IF(AND(O291="",COUNTIFS(Variants!$A$3:$A$1502,A291,Variants!$K$3:$K$1502,"&lt;&gt;")=0),"price, ","")&amp;IF(T291="","image, ","")&amp;IF(B291="","category, ","")&amp;IF(N(AB291)=0,"variant, ","")&amp;IF(AND(P291="Percentage",N(Q291)&gt;100),"discount over 100%, ","")&amp;IF(AND(P291="Fixed amount",O291&lt;&gt;"",N(Q291)&gt;N(O291)),"discount over price, ",""),LEN(IF(E291="","description, ","")&amp;IF(AND(O291="",COUNTIFS(Variants!$A$3:$A$1502,A291,Variants!$K$3:$K$1502,"&lt;&gt;")=0),"price, ","")&amp;IF(T291="","image, ","")&amp;IF(B291="","category, ","")&amp;IF(N(AB291)=0,"variant, ","")&amp;IF(AND(P291="Percentage",N(Q291)&gt;100),"discount over 100%, ","")&amp;IF(AND(P291="Fixed amount",O291&lt;&gt;"",N(Q291)&gt;N(O291)),"discount over price, ",""))-2)))</f>
        <v/>
      </c>
    </row>
    <row r="292" spans="1:29" x14ac:dyDescent="0.3">
      <c r="A292" s="16"/>
      <c r="B292" s="16"/>
      <c r="C292" s="16"/>
      <c r="D292" s="17"/>
      <c r="E292" s="17"/>
      <c r="F292" s="16"/>
      <c r="G292" s="16"/>
      <c r="H292" s="16"/>
      <c r="I292" s="16"/>
      <c r="J292" s="16"/>
      <c r="K292" s="16"/>
      <c r="L292" s="17"/>
      <c r="M292" s="17"/>
      <c r="N292" s="17"/>
      <c r="O292" s="18"/>
      <c r="P292" s="16"/>
      <c r="Q292" s="16"/>
      <c r="R292" s="19" t="str">
        <f t="shared" si="8"/>
        <v/>
      </c>
      <c r="S292" s="19" t="str">
        <f t="shared" si="9"/>
        <v/>
      </c>
      <c r="T292" s="17"/>
      <c r="U292" s="16"/>
      <c r="V292" s="16"/>
      <c r="W292" s="16"/>
      <c r="X292" s="16"/>
      <c r="Y292" s="16"/>
      <c r="Z292" s="16"/>
      <c r="AA292" s="16"/>
      <c r="AB292" s="20" t="str">
        <f>IF(A292="","",COUNTIF(Variants!$A$3:$A$1502,A292))</f>
        <v/>
      </c>
      <c r="AC292" s="21" t="str">
        <f>IF(A292="","",IF(IF(E292="","description, ","")&amp;IF(AND(O292="",COUNTIFS(Variants!$A$3:$A$1502,A292,Variants!$K$3:$K$1502,"&lt;&gt;")=0),"price, ","")&amp;IF(T292="","image, ","")&amp;IF(B292="","category, ","")&amp;IF(N(AB292)=0,"variant, ","")&amp;IF(AND(P292="Percentage",N(Q292)&gt;100),"discount over 100%, ","")&amp;IF(AND(P292="Fixed amount",O292&lt;&gt;"",N(Q292)&gt;N(O292)),"discount over price, ","")="","Ready","Missing: "&amp;LEFT(IF(E292="","description, ","")&amp;IF(AND(O292="",COUNTIFS(Variants!$A$3:$A$1502,A292,Variants!$K$3:$K$1502,"&lt;&gt;")=0),"price, ","")&amp;IF(T292="","image, ","")&amp;IF(B292="","category, ","")&amp;IF(N(AB292)=0,"variant, ","")&amp;IF(AND(P292="Percentage",N(Q292)&gt;100),"discount over 100%, ","")&amp;IF(AND(P292="Fixed amount",O292&lt;&gt;"",N(Q292)&gt;N(O292)),"discount over price, ",""),LEN(IF(E292="","description, ","")&amp;IF(AND(O292="",COUNTIFS(Variants!$A$3:$A$1502,A292,Variants!$K$3:$K$1502,"&lt;&gt;")=0),"price, ","")&amp;IF(T292="","image, ","")&amp;IF(B292="","category, ","")&amp;IF(N(AB292)=0,"variant, ","")&amp;IF(AND(P292="Percentage",N(Q292)&gt;100),"discount over 100%, ","")&amp;IF(AND(P292="Fixed amount",O292&lt;&gt;"",N(Q292)&gt;N(O292)),"discount over price, ",""))-2)))</f>
        <v/>
      </c>
    </row>
    <row r="293" spans="1:29" x14ac:dyDescent="0.3">
      <c r="A293" s="16"/>
      <c r="B293" s="16"/>
      <c r="C293" s="16"/>
      <c r="D293" s="17"/>
      <c r="E293" s="17"/>
      <c r="F293" s="16"/>
      <c r="G293" s="16"/>
      <c r="H293" s="16"/>
      <c r="I293" s="16"/>
      <c r="J293" s="16"/>
      <c r="K293" s="16"/>
      <c r="L293" s="17"/>
      <c r="M293" s="17"/>
      <c r="N293" s="17"/>
      <c r="O293" s="18"/>
      <c r="P293" s="16"/>
      <c r="Q293" s="16"/>
      <c r="R293" s="19" t="str">
        <f t="shared" si="8"/>
        <v/>
      </c>
      <c r="S293" s="19" t="str">
        <f t="shared" si="9"/>
        <v/>
      </c>
      <c r="T293" s="17"/>
      <c r="U293" s="16"/>
      <c r="V293" s="16"/>
      <c r="W293" s="16"/>
      <c r="X293" s="16"/>
      <c r="Y293" s="16"/>
      <c r="Z293" s="16"/>
      <c r="AA293" s="16"/>
      <c r="AB293" s="20" t="str">
        <f>IF(A293="","",COUNTIF(Variants!$A$3:$A$1502,A293))</f>
        <v/>
      </c>
      <c r="AC293" s="21" t="str">
        <f>IF(A293="","",IF(IF(E293="","description, ","")&amp;IF(AND(O293="",COUNTIFS(Variants!$A$3:$A$1502,A293,Variants!$K$3:$K$1502,"&lt;&gt;")=0),"price, ","")&amp;IF(T293="","image, ","")&amp;IF(B293="","category, ","")&amp;IF(N(AB293)=0,"variant, ","")&amp;IF(AND(P293="Percentage",N(Q293)&gt;100),"discount over 100%, ","")&amp;IF(AND(P293="Fixed amount",O293&lt;&gt;"",N(Q293)&gt;N(O293)),"discount over price, ","")="","Ready","Missing: "&amp;LEFT(IF(E293="","description, ","")&amp;IF(AND(O293="",COUNTIFS(Variants!$A$3:$A$1502,A293,Variants!$K$3:$K$1502,"&lt;&gt;")=0),"price, ","")&amp;IF(T293="","image, ","")&amp;IF(B293="","category, ","")&amp;IF(N(AB293)=0,"variant, ","")&amp;IF(AND(P293="Percentage",N(Q293)&gt;100),"discount over 100%, ","")&amp;IF(AND(P293="Fixed amount",O293&lt;&gt;"",N(Q293)&gt;N(O293)),"discount over price, ",""),LEN(IF(E293="","description, ","")&amp;IF(AND(O293="",COUNTIFS(Variants!$A$3:$A$1502,A293,Variants!$K$3:$K$1502,"&lt;&gt;")=0),"price, ","")&amp;IF(T293="","image, ","")&amp;IF(B293="","category, ","")&amp;IF(N(AB293)=0,"variant, ","")&amp;IF(AND(P293="Percentage",N(Q293)&gt;100),"discount over 100%, ","")&amp;IF(AND(P293="Fixed amount",O293&lt;&gt;"",N(Q293)&gt;N(O293)),"discount over price, ",""))-2)))</f>
        <v/>
      </c>
    </row>
    <row r="294" spans="1:29" x14ac:dyDescent="0.3">
      <c r="A294" s="16"/>
      <c r="B294" s="16"/>
      <c r="C294" s="16"/>
      <c r="D294" s="17"/>
      <c r="E294" s="17"/>
      <c r="F294" s="16"/>
      <c r="G294" s="16"/>
      <c r="H294" s="16"/>
      <c r="I294" s="16"/>
      <c r="J294" s="16"/>
      <c r="K294" s="16"/>
      <c r="L294" s="17"/>
      <c r="M294" s="17"/>
      <c r="N294" s="17"/>
      <c r="O294" s="18"/>
      <c r="P294" s="16"/>
      <c r="Q294" s="16"/>
      <c r="R294" s="19" t="str">
        <f t="shared" si="8"/>
        <v/>
      </c>
      <c r="S294" s="19" t="str">
        <f t="shared" si="9"/>
        <v/>
      </c>
      <c r="T294" s="17"/>
      <c r="U294" s="16"/>
      <c r="V294" s="16"/>
      <c r="W294" s="16"/>
      <c r="X294" s="16"/>
      <c r="Y294" s="16"/>
      <c r="Z294" s="16"/>
      <c r="AA294" s="16"/>
      <c r="AB294" s="20" t="str">
        <f>IF(A294="","",COUNTIF(Variants!$A$3:$A$1502,A294))</f>
        <v/>
      </c>
      <c r="AC294" s="21" t="str">
        <f>IF(A294="","",IF(IF(E294="","description, ","")&amp;IF(AND(O294="",COUNTIFS(Variants!$A$3:$A$1502,A294,Variants!$K$3:$K$1502,"&lt;&gt;")=0),"price, ","")&amp;IF(T294="","image, ","")&amp;IF(B294="","category, ","")&amp;IF(N(AB294)=0,"variant, ","")&amp;IF(AND(P294="Percentage",N(Q294)&gt;100),"discount over 100%, ","")&amp;IF(AND(P294="Fixed amount",O294&lt;&gt;"",N(Q294)&gt;N(O294)),"discount over price, ","")="","Ready","Missing: "&amp;LEFT(IF(E294="","description, ","")&amp;IF(AND(O294="",COUNTIFS(Variants!$A$3:$A$1502,A294,Variants!$K$3:$K$1502,"&lt;&gt;")=0),"price, ","")&amp;IF(T294="","image, ","")&amp;IF(B294="","category, ","")&amp;IF(N(AB294)=0,"variant, ","")&amp;IF(AND(P294="Percentage",N(Q294)&gt;100),"discount over 100%, ","")&amp;IF(AND(P294="Fixed amount",O294&lt;&gt;"",N(Q294)&gt;N(O294)),"discount over price, ",""),LEN(IF(E294="","description, ","")&amp;IF(AND(O294="",COUNTIFS(Variants!$A$3:$A$1502,A294,Variants!$K$3:$K$1502,"&lt;&gt;")=0),"price, ","")&amp;IF(T294="","image, ","")&amp;IF(B294="","category, ","")&amp;IF(N(AB294)=0,"variant, ","")&amp;IF(AND(P294="Percentage",N(Q294)&gt;100),"discount over 100%, ","")&amp;IF(AND(P294="Fixed amount",O294&lt;&gt;"",N(Q294)&gt;N(O294)),"discount over price, ",""))-2)))</f>
        <v/>
      </c>
    </row>
    <row r="295" spans="1:29" x14ac:dyDescent="0.3">
      <c r="A295" s="16"/>
      <c r="B295" s="16"/>
      <c r="C295" s="16"/>
      <c r="D295" s="17"/>
      <c r="E295" s="17"/>
      <c r="F295" s="16"/>
      <c r="G295" s="16"/>
      <c r="H295" s="16"/>
      <c r="I295" s="16"/>
      <c r="J295" s="16"/>
      <c r="K295" s="16"/>
      <c r="L295" s="17"/>
      <c r="M295" s="17"/>
      <c r="N295" s="17"/>
      <c r="O295" s="18"/>
      <c r="P295" s="16"/>
      <c r="Q295" s="16"/>
      <c r="R295" s="19" t="str">
        <f t="shared" si="8"/>
        <v/>
      </c>
      <c r="S295" s="19" t="str">
        <f t="shared" si="9"/>
        <v/>
      </c>
      <c r="T295" s="17"/>
      <c r="U295" s="16"/>
      <c r="V295" s="16"/>
      <c r="W295" s="16"/>
      <c r="X295" s="16"/>
      <c r="Y295" s="16"/>
      <c r="Z295" s="16"/>
      <c r="AA295" s="16"/>
      <c r="AB295" s="20" t="str">
        <f>IF(A295="","",COUNTIF(Variants!$A$3:$A$1502,A295))</f>
        <v/>
      </c>
      <c r="AC295" s="21" t="str">
        <f>IF(A295="","",IF(IF(E295="","description, ","")&amp;IF(AND(O295="",COUNTIFS(Variants!$A$3:$A$1502,A295,Variants!$K$3:$K$1502,"&lt;&gt;")=0),"price, ","")&amp;IF(T295="","image, ","")&amp;IF(B295="","category, ","")&amp;IF(N(AB295)=0,"variant, ","")&amp;IF(AND(P295="Percentage",N(Q295)&gt;100),"discount over 100%, ","")&amp;IF(AND(P295="Fixed amount",O295&lt;&gt;"",N(Q295)&gt;N(O295)),"discount over price, ","")="","Ready","Missing: "&amp;LEFT(IF(E295="","description, ","")&amp;IF(AND(O295="",COUNTIFS(Variants!$A$3:$A$1502,A295,Variants!$K$3:$K$1502,"&lt;&gt;")=0),"price, ","")&amp;IF(T295="","image, ","")&amp;IF(B295="","category, ","")&amp;IF(N(AB295)=0,"variant, ","")&amp;IF(AND(P295="Percentage",N(Q295)&gt;100),"discount over 100%, ","")&amp;IF(AND(P295="Fixed amount",O295&lt;&gt;"",N(Q295)&gt;N(O295)),"discount over price, ",""),LEN(IF(E295="","description, ","")&amp;IF(AND(O295="",COUNTIFS(Variants!$A$3:$A$1502,A295,Variants!$K$3:$K$1502,"&lt;&gt;")=0),"price, ","")&amp;IF(T295="","image, ","")&amp;IF(B295="","category, ","")&amp;IF(N(AB295)=0,"variant, ","")&amp;IF(AND(P295="Percentage",N(Q295)&gt;100),"discount over 100%, ","")&amp;IF(AND(P295="Fixed amount",O295&lt;&gt;"",N(Q295)&gt;N(O295)),"discount over price, ",""))-2)))</f>
        <v/>
      </c>
    </row>
    <row r="296" spans="1:29" x14ac:dyDescent="0.3">
      <c r="A296" s="16"/>
      <c r="B296" s="16"/>
      <c r="C296" s="16"/>
      <c r="D296" s="17"/>
      <c r="E296" s="17"/>
      <c r="F296" s="16"/>
      <c r="G296" s="16"/>
      <c r="H296" s="16"/>
      <c r="I296" s="16"/>
      <c r="J296" s="16"/>
      <c r="K296" s="16"/>
      <c r="L296" s="17"/>
      <c r="M296" s="17"/>
      <c r="N296" s="17"/>
      <c r="O296" s="18"/>
      <c r="P296" s="16"/>
      <c r="Q296" s="16"/>
      <c r="R296" s="19" t="str">
        <f t="shared" si="8"/>
        <v/>
      </c>
      <c r="S296" s="19" t="str">
        <f t="shared" si="9"/>
        <v/>
      </c>
      <c r="T296" s="17"/>
      <c r="U296" s="16"/>
      <c r="V296" s="16"/>
      <c r="W296" s="16"/>
      <c r="X296" s="16"/>
      <c r="Y296" s="16"/>
      <c r="Z296" s="16"/>
      <c r="AA296" s="16"/>
      <c r="AB296" s="20" t="str">
        <f>IF(A296="","",COUNTIF(Variants!$A$3:$A$1502,A296))</f>
        <v/>
      </c>
      <c r="AC296" s="21" t="str">
        <f>IF(A296="","",IF(IF(E296="","description, ","")&amp;IF(AND(O296="",COUNTIFS(Variants!$A$3:$A$1502,A296,Variants!$K$3:$K$1502,"&lt;&gt;")=0),"price, ","")&amp;IF(T296="","image, ","")&amp;IF(B296="","category, ","")&amp;IF(N(AB296)=0,"variant, ","")&amp;IF(AND(P296="Percentage",N(Q296)&gt;100),"discount over 100%, ","")&amp;IF(AND(P296="Fixed amount",O296&lt;&gt;"",N(Q296)&gt;N(O296)),"discount over price, ","")="","Ready","Missing: "&amp;LEFT(IF(E296="","description, ","")&amp;IF(AND(O296="",COUNTIFS(Variants!$A$3:$A$1502,A296,Variants!$K$3:$K$1502,"&lt;&gt;")=0),"price, ","")&amp;IF(T296="","image, ","")&amp;IF(B296="","category, ","")&amp;IF(N(AB296)=0,"variant, ","")&amp;IF(AND(P296="Percentage",N(Q296)&gt;100),"discount over 100%, ","")&amp;IF(AND(P296="Fixed amount",O296&lt;&gt;"",N(Q296)&gt;N(O296)),"discount over price, ",""),LEN(IF(E296="","description, ","")&amp;IF(AND(O296="",COUNTIFS(Variants!$A$3:$A$1502,A296,Variants!$K$3:$K$1502,"&lt;&gt;")=0),"price, ","")&amp;IF(T296="","image, ","")&amp;IF(B296="","category, ","")&amp;IF(N(AB296)=0,"variant, ","")&amp;IF(AND(P296="Percentage",N(Q296)&gt;100),"discount over 100%, ","")&amp;IF(AND(P296="Fixed amount",O296&lt;&gt;"",N(Q296)&gt;N(O296)),"discount over price, ",""))-2)))</f>
        <v/>
      </c>
    </row>
    <row r="297" spans="1:29" x14ac:dyDescent="0.3">
      <c r="A297" s="16"/>
      <c r="B297" s="16"/>
      <c r="C297" s="16"/>
      <c r="D297" s="17"/>
      <c r="E297" s="17"/>
      <c r="F297" s="16"/>
      <c r="G297" s="16"/>
      <c r="H297" s="16"/>
      <c r="I297" s="16"/>
      <c r="J297" s="16"/>
      <c r="K297" s="16"/>
      <c r="L297" s="17"/>
      <c r="M297" s="17"/>
      <c r="N297" s="17"/>
      <c r="O297" s="18"/>
      <c r="P297" s="16"/>
      <c r="Q297" s="16"/>
      <c r="R297" s="19" t="str">
        <f t="shared" si="8"/>
        <v/>
      </c>
      <c r="S297" s="19" t="str">
        <f t="shared" si="9"/>
        <v/>
      </c>
      <c r="T297" s="17"/>
      <c r="U297" s="16"/>
      <c r="V297" s="16"/>
      <c r="W297" s="16"/>
      <c r="X297" s="16"/>
      <c r="Y297" s="16"/>
      <c r="Z297" s="16"/>
      <c r="AA297" s="16"/>
      <c r="AB297" s="20" t="str">
        <f>IF(A297="","",COUNTIF(Variants!$A$3:$A$1502,A297))</f>
        <v/>
      </c>
      <c r="AC297" s="21" t="str">
        <f>IF(A297="","",IF(IF(E297="","description, ","")&amp;IF(AND(O297="",COUNTIFS(Variants!$A$3:$A$1502,A297,Variants!$K$3:$K$1502,"&lt;&gt;")=0),"price, ","")&amp;IF(T297="","image, ","")&amp;IF(B297="","category, ","")&amp;IF(N(AB297)=0,"variant, ","")&amp;IF(AND(P297="Percentage",N(Q297)&gt;100),"discount over 100%, ","")&amp;IF(AND(P297="Fixed amount",O297&lt;&gt;"",N(Q297)&gt;N(O297)),"discount over price, ","")="","Ready","Missing: "&amp;LEFT(IF(E297="","description, ","")&amp;IF(AND(O297="",COUNTIFS(Variants!$A$3:$A$1502,A297,Variants!$K$3:$K$1502,"&lt;&gt;")=0),"price, ","")&amp;IF(T297="","image, ","")&amp;IF(B297="","category, ","")&amp;IF(N(AB297)=0,"variant, ","")&amp;IF(AND(P297="Percentage",N(Q297)&gt;100),"discount over 100%, ","")&amp;IF(AND(P297="Fixed amount",O297&lt;&gt;"",N(Q297)&gt;N(O297)),"discount over price, ",""),LEN(IF(E297="","description, ","")&amp;IF(AND(O297="",COUNTIFS(Variants!$A$3:$A$1502,A297,Variants!$K$3:$K$1502,"&lt;&gt;")=0),"price, ","")&amp;IF(T297="","image, ","")&amp;IF(B297="","category, ","")&amp;IF(N(AB297)=0,"variant, ","")&amp;IF(AND(P297="Percentage",N(Q297)&gt;100),"discount over 100%, ","")&amp;IF(AND(P297="Fixed amount",O297&lt;&gt;"",N(Q297)&gt;N(O297)),"discount over price, ",""))-2)))</f>
        <v/>
      </c>
    </row>
    <row r="298" spans="1:29" x14ac:dyDescent="0.3">
      <c r="A298" s="16"/>
      <c r="B298" s="16"/>
      <c r="C298" s="16"/>
      <c r="D298" s="17"/>
      <c r="E298" s="17"/>
      <c r="F298" s="16"/>
      <c r="G298" s="16"/>
      <c r="H298" s="16"/>
      <c r="I298" s="16"/>
      <c r="J298" s="16"/>
      <c r="K298" s="16"/>
      <c r="L298" s="17"/>
      <c r="M298" s="17"/>
      <c r="N298" s="17"/>
      <c r="O298" s="18"/>
      <c r="P298" s="16"/>
      <c r="Q298" s="16"/>
      <c r="R298" s="19" t="str">
        <f t="shared" si="8"/>
        <v/>
      </c>
      <c r="S298" s="19" t="str">
        <f t="shared" si="9"/>
        <v/>
      </c>
      <c r="T298" s="17"/>
      <c r="U298" s="16"/>
      <c r="V298" s="16"/>
      <c r="W298" s="16"/>
      <c r="X298" s="16"/>
      <c r="Y298" s="16"/>
      <c r="Z298" s="16"/>
      <c r="AA298" s="16"/>
      <c r="AB298" s="20" t="str">
        <f>IF(A298="","",COUNTIF(Variants!$A$3:$A$1502,A298))</f>
        <v/>
      </c>
      <c r="AC298" s="21" t="str">
        <f>IF(A298="","",IF(IF(E298="","description, ","")&amp;IF(AND(O298="",COUNTIFS(Variants!$A$3:$A$1502,A298,Variants!$K$3:$K$1502,"&lt;&gt;")=0),"price, ","")&amp;IF(T298="","image, ","")&amp;IF(B298="","category, ","")&amp;IF(N(AB298)=0,"variant, ","")&amp;IF(AND(P298="Percentage",N(Q298)&gt;100),"discount over 100%, ","")&amp;IF(AND(P298="Fixed amount",O298&lt;&gt;"",N(Q298)&gt;N(O298)),"discount over price, ","")="","Ready","Missing: "&amp;LEFT(IF(E298="","description, ","")&amp;IF(AND(O298="",COUNTIFS(Variants!$A$3:$A$1502,A298,Variants!$K$3:$K$1502,"&lt;&gt;")=0),"price, ","")&amp;IF(T298="","image, ","")&amp;IF(B298="","category, ","")&amp;IF(N(AB298)=0,"variant, ","")&amp;IF(AND(P298="Percentage",N(Q298)&gt;100),"discount over 100%, ","")&amp;IF(AND(P298="Fixed amount",O298&lt;&gt;"",N(Q298)&gt;N(O298)),"discount over price, ",""),LEN(IF(E298="","description, ","")&amp;IF(AND(O298="",COUNTIFS(Variants!$A$3:$A$1502,A298,Variants!$K$3:$K$1502,"&lt;&gt;")=0),"price, ","")&amp;IF(T298="","image, ","")&amp;IF(B298="","category, ","")&amp;IF(N(AB298)=0,"variant, ","")&amp;IF(AND(P298="Percentage",N(Q298)&gt;100),"discount over 100%, ","")&amp;IF(AND(P298="Fixed amount",O298&lt;&gt;"",N(Q298)&gt;N(O298)),"discount over price, ",""))-2)))</f>
        <v/>
      </c>
    </row>
    <row r="299" spans="1:29" x14ac:dyDescent="0.3">
      <c r="A299" s="16"/>
      <c r="B299" s="16"/>
      <c r="C299" s="16"/>
      <c r="D299" s="17"/>
      <c r="E299" s="17"/>
      <c r="F299" s="16"/>
      <c r="G299" s="16"/>
      <c r="H299" s="16"/>
      <c r="I299" s="16"/>
      <c r="J299" s="16"/>
      <c r="K299" s="16"/>
      <c r="L299" s="17"/>
      <c r="M299" s="17"/>
      <c r="N299" s="17"/>
      <c r="O299" s="18"/>
      <c r="P299" s="16"/>
      <c r="Q299" s="16"/>
      <c r="R299" s="19" t="str">
        <f t="shared" si="8"/>
        <v/>
      </c>
      <c r="S299" s="19" t="str">
        <f t="shared" si="9"/>
        <v/>
      </c>
      <c r="T299" s="17"/>
      <c r="U299" s="16"/>
      <c r="V299" s="16"/>
      <c r="W299" s="16"/>
      <c r="X299" s="16"/>
      <c r="Y299" s="16"/>
      <c r="Z299" s="16"/>
      <c r="AA299" s="16"/>
      <c r="AB299" s="20" t="str">
        <f>IF(A299="","",COUNTIF(Variants!$A$3:$A$1502,A299))</f>
        <v/>
      </c>
      <c r="AC299" s="21" t="str">
        <f>IF(A299="","",IF(IF(E299="","description, ","")&amp;IF(AND(O299="",COUNTIFS(Variants!$A$3:$A$1502,A299,Variants!$K$3:$K$1502,"&lt;&gt;")=0),"price, ","")&amp;IF(T299="","image, ","")&amp;IF(B299="","category, ","")&amp;IF(N(AB299)=0,"variant, ","")&amp;IF(AND(P299="Percentage",N(Q299)&gt;100),"discount over 100%, ","")&amp;IF(AND(P299="Fixed amount",O299&lt;&gt;"",N(Q299)&gt;N(O299)),"discount over price, ","")="","Ready","Missing: "&amp;LEFT(IF(E299="","description, ","")&amp;IF(AND(O299="",COUNTIFS(Variants!$A$3:$A$1502,A299,Variants!$K$3:$K$1502,"&lt;&gt;")=0),"price, ","")&amp;IF(T299="","image, ","")&amp;IF(B299="","category, ","")&amp;IF(N(AB299)=0,"variant, ","")&amp;IF(AND(P299="Percentage",N(Q299)&gt;100),"discount over 100%, ","")&amp;IF(AND(P299="Fixed amount",O299&lt;&gt;"",N(Q299)&gt;N(O299)),"discount over price, ",""),LEN(IF(E299="","description, ","")&amp;IF(AND(O299="",COUNTIFS(Variants!$A$3:$A$1502,A299,Variants!$K$3:$K$1502,"&lt;&gt;")=0),"price, ","")&amp;IF(T299="","image, ","")&amp;IF(B299="","category, ","")&amp;IF(N(AB299)=0,"variant, ","")&amp;IF(AND(P299="Percentage",N(Q299)&gt;100),"discount over 100%, ","")&amp;IF(AND(P299="Fixed amount",O299&lt;&gt;"",N(Q299)&gt;N(O299)),"discount over price, ",""))-2)))</f>
        <v/>
      </c>
    </row>
    <row r="300" spans="1:29" x14ac:dyDescent="0.3">
      <c r="A300" s="16"/>
      <c r="B300" s="16"/>
      <c r="C300" s="16"/>
      <c r="D300" s="17"/>
      <c r="E300" s="17"/>
      <c r="F300" s="16"/>
      <c r="G300" s="16"/>
      <c r="H300" s="16"/>
      <c r="I300" s="16"/>
      <c r="J300" s="16"/>
      <c r="K300" s="16"/>
      <c r="L300" s="17"/>
      <c r="M300" s="17"/>
      <c r="N300" s="17"/>
      <c r="O300" s="18"/>
      <c r="P300" s="16"/>
      <c r="Q300" s="16"/>
      <c r="R300" s="19" t="str">
        <f t="shared" si="8"/>
        <v/>
      </c>
      <c r="S300" s="19" t="str">
        <f t="shared" si="9"/>
        <v/>
      </c>
      <c r="T300" s="17"/>
      <c r="U300" s="16"/>
      <c r="V300" s="16"/>
      <c r="W300" s="16"/>
      <c r="X300" s="16"/>
      <c r="Y300" s="16"/>
      <c r="Z300" s="16"/>
      <c r="AA300" s="16"/>
      <c r="AB300" s="20" t="str">
        <f>IF(A300="","",COUNTIF(Variants!$A$3:$A$1502,A300))</f>
        <v/>
      </c>
      <c r="AC300" s="21" t="str">
        <f>IF(A300="","",IF(IF(E300="","description, ","")&amp;IF(AND(O300="",COUNTIFS(Variants!$A$3:$A$1502,A300,Variants!$K$3:$K$1502,"&lt;&gt;")=0),"price, ","")&amp;IF(T300="","image, ","")&amp;IF(B300="","category, ","")&amp;IF(N(AB300)=0,"variant, ","")&amp;IF(AND(P300="Percentage",N(Q300)&gt;100),"discount over 100%, ","")&amp;IF(AND(P300="Fixed amount",O300&lt;&gt;"",N(Q300)&gt;N(O300)),"discount over price, ","")="","Ready","Missing: "&amp;LEFT(IF(E300="","description, ","")&amp;IF(AND(O300="",COUNTIFS(Variants!$A$3:$A$1502,A300,Variants!$K$3:$K$1502,"&lt;&gt;")=0),"price, ","")&amp;IF(T300="","image, ","")&amp;IF(B300="","category, ","")&amp;IF(N(AB300)=0,"variant, ","")&amp;IF(AND(P300="Percentage",N(Q300)&gt;100),"discount over 100%, ","")&amp;IF(AND(P300="Fixed amount",O300&lt;&gt;"",N(Q300)&gt;N(O300)),"discount over price, ",""),LEN(IF(E300="","description, ","")&amp;IF(AND(O300="",COUNTIFS(Variants!$A$3:$A$1502,A300,Variants!$K$3:$K$1502,"&lt;&gt;")=0),"price, ","")&amp;IF(T300="","image, ","")&amp;IF(B300="","category, ","")&amp;IF(N(AB300)=0,"variant, ","")&amp;IF(AND(P300="Percentage",N(Q300)&gt;100),"discount over 100%, ","")&amp;IF(AND(P300="Fixed amount",O300&lt;&gt;"",N(Q300)&gt;N(O300)),"discount over price, ",""))-2)))</f>
        <v/>
      </c>
    </row>
    <row r="301" spans="1:29" x14ac:dyDescent="0.3">
      <c r="A301" s="16"/>
      <c r="B301" s="16"/>
      <c r="C301" s="16"/>
      <c r="D301" s="17"/>
      <c r="E301" s="17"/>
      <c r="F301" s="16"/>
      <c r="G301" s="16"/>
      <c r="H301" s="16"/>
      <c r="I301" s="16"/>
      <c r="J301" s="16"/>
      <c r="K301" s="16"/>
      <c r="L301" s="17"/>
      <c r="M301" s="17"/>
      <c r="N301" s="17"/>
      <c r="O301" s="18"/>
      <c r="P301" s="16"/>
      <c r="Q301" s="16"/>
      <c r="R301" s="19" t="str">
        <f t="shared" si="8"/>
        <v/>
      </c>
      <c r="S301" s="19" t="str">
        <f t="shared" si="9"/>
        <v/>
      </c>
      <c r="T301" s="17"/>
      <c r="U301" s="16"/>
      <c r="V301" s="16"/>
      <c r="W301" s="16"/>
      <c r="X301" s="16"/>
      <c r="Y301" s="16"/>
      <c r="Z301" s="16"/>
      <c r="AA301" s="16"/>
      <c r="AB301" s="20" t="str">
        <f>IF(A301="","",COUNTIF(Variants!$A$3:$A$1502,A301))</f>
        <v/>
      </c>
      <c r="AC301" s="21" t="str">
        <f>IF(A301="","",IF(IF(E301="","description, ","")&amp;IF(AND(O301="",COUNTIFS(Variants!$A$3:$A$1502,A301,Variants!$K$3:$K$1502,"&lt;&gt;")=0),"price, ","")&amp;IF(T301="","image, ","")&amp;IF(B301="","category, ","")&amp;IF(N(AB301)=0,"variant, ","")&amp;IF(AND(P301="Percentage",N(Q301)&gt;100),"discount over 100%, ","")&amp;IF(AND(P301="Fixed amount",O301&lt;&gt;"",N(Q301)&gt;N(O301)),"discount over price, ","")="","Ready","Missing: "&amp;LEFT(IF(E301="","description, ","")&amp;IF(AND(O301="",COUNTIFS(Variants!$A$3:$A$1502,A301,Variants!$K$3:$K$1502,"&lt;&gt;")=0),"price, ","")&amp;IF(T301="","image, ","")&amp;IF(B301="","category, ","")&amp;IF(N(AB301)=0,"variant, ","")&amp;IF(AND(P301="Percentage",N(Q301)&gt;100),"discount over 100%, ","")&amp;IF(AND(P301="Fixed amount",O301&lt;&gt;"",N(Q301)&gt;N(O301)),"discount over price, ",""),LEN(IF(E301="","description, ","")&amp;IF(AND(O301="",COUNTIFS(Variants!$A$3:$A$1502,A301,Variants!$K$3:$K$1502,"&lt;&gt;")=0),"price, ","")&amp;IF(T301="","image, ","")&amp;IF(B301="","category, ","")&amp;IF(N(AB301)=0,"variant, ","")&amp;IF(AND(P301="Percentage",N(Q301)&gt;100),"discount over 100%, ","")&amp;IF(AND(P301="Fixed amount",O301&lt;&gt;"",N(Q301)&gt;N(O301)),"discount over price, ",""))-2)))</f>
        <v/>
      </c>
    </row>
    <row r="302" spans="1:29" x14ac:dyDescent="0.3">
      <c r="A302" s="16"/>
      <c r="B302" s="16"/>
      <c r="C302" s="16"/>
      <c r="D302" s="17"/>
      <c r="E302" s="17"/>
      <c r="F302" s="16"/>
      <c r="G302" s="16"/>
      <c r="H302" s="16"/>
      <c r="I302" s="16"/>
      <c r="J302" s="16"/>
      <c r="K302" s="16"/>
      <c r="L302" s="17"/>
      <c r="M302" s="17"/>
      <c r="N302" s="17"/>
      <c r="O302" s="18"/>
      <c r="P302" s="16"/>
      <c r="Q302" s="16"/>
      <c r="R302" s="19" t="str">
        <f t="shared" si="8"/>
        <v/>
      </c>
      <c r="S302" s="19" t="str">
        <f t="shared" si="9"/>
        <v/>
      </c>
      <c r="T302" s="17"/>
      <c r="U302" s="16"/>
      <c r="V302" s="16"/>
      <c r="W302" s="16"/>
      <c r="X302" s="16"/>
      <c r="Y302" s="16"/>
      <c r="Z302" s="16"/>
      <c r="AA302" s="16"/>
      <c r="AB302" s="20" t="str">
        <f>IF(A302="","",COUNTIF(Variants!$A$3:$A$1502,A302))</f>
        <v/>
      </c>
      <c r="AC302" s="21" t="str">
        <f>IF(A302="","",IF(IF(E302="","description, ","")&amp;IF(AND(O302="",COUNTIFS(Variants!$A$3:$A$1502,A302,Variants!$K$3:$K$1502,"&lt;&gt;")=0),"price, ","")&amp;IF(T302="","image, ","")&amp;IF(B302="","category, ","")&amp;IF(N(AB302)=0,"variant, ","")&amp;IF(AND(P302="Percentage",N(Q302)&gt;100),"discount over 100%, ","")&amp;IF(AND(P302="Fixed amount",O302&lt;&gt;"",N(Q302)&gt;N(O302)),"discount over price, ","")="","Ready","Missing: "&amp;LEFT(IF(E302="","description, ","")&amp;IF(AND(O302="",COUNTIFS(Variants!$A$3:$A$1502,A302,Variants!$K$3:$K$1502,"&lt;&gt;")=0),"price, ","")&amp;IF(T302="","image, ","")&amp;IF(B302="","category, ","")&amp;IF(N(AB302)=0,"variant, ","")&amp;IF(AND(P302="Percentage",N(Q302)&gt;100),"discount over 100%, ","")&amp;IF(AND(P302="Fixed amount",O302&lt;&gt;"",N(Q302)&gt;N(O302)),"discount over price, ",""),LEN(IF(E302="","description, ","")&amp;IF(AND(O302="",COUNTIFS(Variants!$A$3:$A$1502,A302,Variants!$K$3:$K$1502,"&lt;&gt;")=0),"price, ","")&amp;IF(T302="","image, ","")&amp;IF(B302="","category, ","")&amp;IF(N(AB302)=0,"variant, ","")&amp;IF(AND(P302="Percentage",N(Q302)&gt;100),"discount over 100%, ","")&amp;IF(AND(P302="Fixed amount",O302&lt;&gt;"",N(Q302)&gt;N(O302)),"discount over price, ",""))-2)))</f>
        <v/>
      </c>
    </row>
  </sheetData>
  <mergeCells count="5">
    <mergeCell ref="AB1:AC1"/>
    <mergeCell ref="V1:Z1"/>
    <mergeCell ref="T1:U1"/>
    <mergeCell ref="O1:S1"/>
    <mergeCell ref="A1:N1"/>
  </mergeCells>
  <dataValidations count="4">
    <dataValidation type="decimal" operator="greaterThanOrEqual" allowBlank="1" showErrorMessage="1" errorTitle="Original price" error="Enter a number (0 or more), no ₹ sign." sqref="O3:O302" xr:uid="{00000000-0002-0000-0100-00000A000000}">
      <formula1>0</formula1>
    </dataValidation>
    <dataValidation type="decimal" operator="greaterThanOrEqual" allowBlank="1" showErrorMessage="1" errorTitle="Discount value" error="Enter a number (0 or more), no ₹ sign." sqref="Q3:Q302" xr:uid="{00000000-0002-0000-0100-00000B000000}">
      <formula1>0</formula1>
    </dataValidation>
    <dataValidation type="whole" operator="greaterThanOrEqual" allowBlank="1" showErrorMessage="1" errorTitle="Sort order" error="Enter a whole number (0 or more)." sqref="W3:W302" xr:uid="{00000000-0002-0000-0100-00000C000000}">
      <formula1>0</formula1>
    </dataValidation>
    <dataValidation type="custom" allowBlank="1" showErrorMessage="1" errorTitle="Product Name" error="Another product already has this name." sqref="A3:A302" xr:uid="{00000000-0002-0000-0100-00000D000000}">
      <formula1>COUNTIF($A$3:$A$302,A3)=1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errorStyle="information" allowBlank="1" showErrorMessage="1" errorTitle="Category" error="Not in the list - create it in the product form with '+ New'." xr:uid="{00000000-0002-0000-0100-000000000000}">
          <x14:formula1>
            <xm:f>Lists!$A$2:$A$60</xm:f>
          </x14:formula1>
          <xm:sqref>B3:B302</xm:sqref>
        </x14:dataValidation>
        <x14:dataValidation type="list" errorStyle="information" allowBlank="1" showErrorMessage="1" errorTitle="Hair Type" error="Not in the list - that's fine, it will be kept as typed." xr:uid="{00000000-0002-0000-0100-000001000000}">
          <x14:formula1>
            <xm:f>Lists!$B$2:$B$4</xm:f>
          </x14:formula1>
          <xm:sqref>F3:F302</xm:sqref>
        </x14:dataValidation>
        <x14:dataValidation type="list" errorStyle="information" allowBlank="1" showErrorMessage="1" errorTitle="Texture" error="Not in the list - that's fine, it will be kept as typed." xr:uid="{00000000-0002-0000-0100-000002000000}">
          <x14:formula1>
            <xm:f>Lists!$C$2:$C$8</xm:f>
          </x14:formula1>
          <xm:sqref>G3:G302</xm:sqref>
        </x14:dataValidation>
        <x14:dataValidation type="list" errorStyle="information" allowBlank="1" showErrorMessage="1" errorTitle="Construction" error="Not in the list - that's fine, it will be kept as typed." xr:uid="{00000000-0002-0000-0100-000003000000}">
          <x14:formula1>
            <xm:f>Lists!$D$2:$D$12</xm:f>
          </x14:formula1>
          <xm:sqref>H3:H302</xm:sqref>
        </x14:dataValidation>
        <x14:dataValidation type="list" allowBlank="1" showErrorMessage="1" errorTitle="Discount Type" error="Please pick a value from the list." xr:uid="{00000000-0002-0000-0100-000004000000}">
          <x14:formula1>
            <xm:f>Lists!$E$2:$E$4</xm:f>
          </x14:formula1>
          <xm:sqref>P3:P302</xm:sqref>
        </x14:dataValidation>
        <x14:dataValidation type="list" allowBlank="1" showErrorMessage="1" errorTitle="Badge" error="Please pick a value from the list." xr:uid="{00000000-0002-0000-0100-000005000000}">
          <x14:formula1>
            <xm:f>Lists!$F$2:$F$7</xm:f>
          </x14:formula1>
          <xm:sqref>V3:V302</xm:sqref>
        </x14:dataValidation>
        <x14:dataValidation type="list" allowBlank="1" showErrorMessage="1" errorTitle="Featured" error="Please pick a value from the list." xr:uid="{00000000-0002-0000-0100-000006000000}">
          <x14:formula1>
            <xm:f>Lists!$G$2:$G$3</xm:f>
          </x14:formula1>
          <xm:sqref>X3:X302</xm:sqref>
        </x14:dataValidation>
        <x14:dataValidation type="list" allowBlank="1" showErrorMessage="1" errorTitle="Bestseller" error="Please pick a value from the list." xr:uid="{00000000-0002-0000-0100-000007000000}">
          <x14:formula1>
            <xm:f>Lists!$G$2:$G$3</xm:f>
          </x14:formula1>
          <xm:sqref>Y3:Y302</xm:sqref>
        </x14:dataValidation>
        <x14:dataValidation type="list" allowBlank="1" showErrorMessage="1" errorTitle="New Arrival" error="Please pick a value from the list." xr:uid="{00000000-0002-0000-0100-000008000000}">
          <x14:formula1>
            <xm:f>Lists!$G$2:$G$3</xm:f>
          </x14:formula1>
          <xm:sqref>Z3:Z302</xm:sqref>
        </x14:dataValidation>
        <x14:dataValidation type="list" allowBlank="1" showErrorMessage="1" errorTitle="Status" error="Please pick a value from the list." xr:uid="{00000000-0002-0000-0100-000009000000}">
          <x14:formula1>
            <xm:f>Lists!$H$2:$H$5</xm:f>
          </x14:formula1>
          <xm:sqref>AA3:AA302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0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0" customWidth="1"/>
    <col min="3" max="4" width="10" customWidth="1"/>
    <col min="5" max="5" width="15" customWidth="1"/>
    <col min="6" max="6" width="14" customWidth="1"/>
    <col min="7" max="7" width="11" customWidth="1"/>
    <col min="8" max="8" width="9" customWidth="1"/>
    <col min="9" max="9" width="11" customWidth="1"/>
    <col min="10" max="10" width="10" customWidth="1"/>
    <col min="11" max="11" width="13" customWidth="1"/>
    <col min="12" max="12" width="15" customWidth="1"/>
    <col min="13" max="13" width="12" customWidth="1"/>
    <col min="14" max="14" width="15" customWidth="1"/>
    <col min="15" max="15" width="28" customWidth="1"/>
  </cols>
  <sheetData>
    <row r="1" spans="1:15" ht="19.95" customHeight="1" x14ac:dyDescent="0.3">
      <c r="A1" s="37" t="s">
        <v>87</v>
      </c>
      <c r="B1" s="33"/>
      <c r="C1" s="33"/>
      <c r="D1" s="33"/>
      <c r="E1" s="33"/>
      <c r="F1" s="33"/>
      <c r="G1" s="33"/>
      <c r="H1" s="34" t="s">
        <v>88</v>
      </c>
      <c r="I1" s="33"/>
      <c r="J1" s="33"/>
      <c r="K1" s="36" t="s">
        <v>89</v>
      </c>
      <c r="L1" s="33"/>
      <c r="M1" s="33"/>
      <c r="N1" s="33"/>
      <c r="O1" s="10" t="s">
        <v>90</v>
      </c>
    </row>
    <row r="2" spans="1:15" ht="34.049999999999997" customHeight="1" x14ac:dyDescent="0.3">
      <c r="A2" s="12" t="s">
        <v>59</v>
      </c>
      <c r="B2" s="12" t="s">
        <v>91</v>
      </c>
      <c r="C2" s="14" t="s">
        <v>92</v>
      </c>
      <c r="D2" s="13" t="s">
        <v>93</v>
      </c>
      <c r="E2" s="14" t="s">
        <v>94</v>
      </c>
      <c r="F2" s="13" t="s">
        <v>95</v>
      </c>
      <c r="G2" s="13" t="s">
        <v>96</v>
      </c>
      <c r="H2" s="12" t="s">
        <v>97</v>
      </c>
      <c r="I2" s="13" t="s">
        <v>98</v>
      </c>
      <c r="J2" s="13" t="s">
        <v>99</v>
      </c>
      <c r="K2" s="13" t="s">
        <v>100</v>
      </c>
      <c r="L2" s="13" t="s">
        <v>101</v>
      </c>
      <c r="M2" s="13" t="s">
        <v>102</v>
      </c>
      <c r="N2" s="15" t="s">
        <v>77</v>
      </c>
      <c r="O2" s="13" t="s">
        <v>103</v>
      </c>
    </row>
    <row r="3" spans="1:15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8"/>
      <c r="L3" s="16"/>
      <c r="M3" s="16"/>
      <c r="N3" s="19" t="str">
        <f>IF(A3="","",IF(K3="",IFERROR(INDEX(Products!$S$3:$S$302,MATCH(A3,Products!$A$3:$A$302,0)),"Product not found"),K3-IF(L3="Percentage",ROUND(K3*N(M3)/100,2),IF(L3="Fixed amount",N(M3),0))))</f>
        <v/>
      </c>
      <c r="O3" s="17"/>
    </row>
    <row r="4" spans="1:15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8"/>
      <c r="L4" s="16"/>
      <c r="M4" s="16"/>
      <c r="N4" s="19" t="str">
        <f>IF(A4="","",IF(K4="",IFERROR(INDEX(Products!$S$3:$S$302,MATCH(A4,Products!$A$3:$A$302,0)),"Product not found"),K4-IF(L4="Percentage",ROUND(K4*N(M4)/100,2),IF(L4="Fixed amount",N(M4),0))))</f>
        <v/>
      </c>
      <c r="O4" s="17"/>
    </row>
    <row r="5" spans="1:15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8"/>
      <c r="L5" s="16"/>
      <c r="M5" s="16"/>
      <c r="N5" s="19" t="str">
        <f>IF(A5="","",IF(K5="",IFERROR(INDEX(Products!$S$3:$S$302,MATCH(A5,Products!$A$3:$A$302,0)),"Product not found"),K5-IF(L5="Percentage",ROUND(K5*N(M5)/100,2),IF(L5="Fixed amount",N(M5),0))))</f>
        <v/>
      </c>
      <c r="O5" s="17"/>
    </row>
    <row r="6" spans="1:15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8"/>
      <c r="L6" s="16"/>
      <c r="M6" s="16"/>
      <c r="N6" s="19" t="str">
        <f>IF(A6="","",IF(K6="",IFERROR(INDEX(Products!$S$3:$S$302,MATCH(A6,Products!$A$3:$A$302,0)),"Product not found"),K6-IF(L6="Percentage",ROUND(K6*N(M6)/100,2),IF(L6="Fixed amount",N(M6),0))))</f>
        <v/>
      </c>
      <c r="O6" s="17"/>
    </row>
    <row r="7" spans="1:15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8"/>
      <c r="L7" s="16"/>
      <c r="M7" s="16"/>
      <c r="N7" s="19" t="str">
        <f>IF(A7="","",IF(K7="",IFERROR(INDEX(Products!$S$3:$S$302,MATCH(A7,Products!$A$3:$A$302,0)),"Product not found"),K7-IF(L7="Percentage",ROUND(K7*N(M7)/100,2),IF(L7="Fixed amount",N(M7),0))))</f>
        <v/>
      </c>
      <c r="O7" s="17"/>
    </row>
    <row r="8" spans="1:15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8"/>
      <c r="L8" s="16"/>
      <c r="M8" s="16"/>
      <c r="N8" s="19" t="str">
        <f>IF(A8="","",IF(K8="",IFERROR(INDEX(Products!$S$3:$S$302,MATCH(A8,Products!$A$3:$A$302,0)),"Product not found"),K8-IF(L8="Percentage",ROUND(K8*N(M8)/100,2),IF(L8="Fixed amount",N(M8),0))))</f>
        <v/>
      </c>
      <c r="O8" s="17"/>
    </row>
    <row r="9" spans="1:15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8"/>
      <c r="L9" s="16"/>
      <c r="M9" s="16"/>
      <c r="N9" s="19" t="str">
        <f>IF(A9="","",IF(K9="",IFERROR(INDEX(Products!$S$3:$S$302,MATCH(A9,Products!$A$3:$A$302,0)),"Product not found"),K9-IF(L9="Percentage",ROUND(K9*N(M9)/100,2),IF(L9="Fixed amount",N(M9),0))))</f>
        <v/>
      </c>
      <c r="O9" s="17"/>
    </row>
    <row r="10" spans="1:15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8"/>
      <c r="L10" s="16"/>
      <c r="M10" s="16"/>
      <c r="N10" s="19" t="str">
        <f>IF(A10="","",IF(K10="",IFERROR(INDEX(Products!$S$3:$S$302,MATCH(A10,Products!$A$3:$A$302,0)),"Product not found"),K10-IF(L10="Percentage",ROUND(K10*N(M10)/100,2),IF(L10="Fixed amount",N(M10),0))))</f>
        <v/>
      </c>
      <c r="O10" s="17"/>
    </row>
    <row r="11" spans="1:15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8"/>
      <c r="L11" s="16"/>
      <c r="M11" s="16"/>
      <c r="N11" s="19" t="str">
        <f>IF(A11="","",IF(K11="",IFERROR(INDEX(Products!$S$3:$S$302,MATCH(A11,Products!$A$3:$A$302,0)),"Product not found"),K11-IF(L11="Percentage",ROUND(K11*N(M11)/100,2),IF(L11="Fixed amount",N(M11),0))))</f>
        <v/>
      </c>
      <c r="O11" s="17"/>
    </row>
    <row r="12" spans="1:15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8"/>
      <c r="L12" s="16"/>
      <c r="M12" s="16"/>
      <c r="N12" s="19" t="str">
        <f>IF(A12="","",IF(K12="",IFERROR(INDEX(Products!$S$3:$S$302,MATCH(A12,Products!$A$3:$A$302,0)),"Product not found"),K12-IF(L12="Percentage",ROUND(K12*N(M12)/100,2),IF(L12="Fixed amount",N(M12),0))))</f>
        <v/>
      </c>
      <c r="O12" s="17"/>
    </row>
    <row r="13" spans="1:15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8"/>
      <c r="L13" s="16"/>
      <c r="M13" s="16"/>
      <c r="N13" s="19" t="str">
        <f>IF(A13="","",IF(K13="",IFERROR(INDEX(Products!$S$3:$S$302,MATCH(A13,Products!$A$3:$A$302,0)),"Product not found"),K13-IF(L13="Percentage",ROUND(K13*N(M13)/100,2),IF(L13="Fixed amount",N(M13),0))))</f>
        <v/>
      </c>
      <c r="O13" s="17"/>
    </row>
    <row r="14" spans="1:15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8"/>
      <c r="L14" s="16"/>
      <c r="M14" s="16"/>
      <c r="N14" s="19" t="str">
        <f>IF(A14="","",IF(K14="",IFERROR(INDEX(Products!$S$3:$S$302,MATCH(A14,Products!$A$3:$A$302,0)),"Product not found"),K14-IF(L14="Percentage",ROUND(K14*N(M14)/100,2),IF(L14="Fixed amount",N(M14),0))))</f>
        <v/>
      </c>
      <c r="O14" s="17"/>
    </row>
    <row r="15" spans="1:15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8"/>
      <c r="L15" s="16"/>
      <c r="M15" s="16"/>
      <c r="N15" s="19" t="str">
        <f>IF(A15="","",IF(K15="",IFERROR(INDEX(Products!$S$3:$S$302,MATCH(A15,Products!$A$3:$A$302,0)),"Product not found"),K15-IF(L15="Percentage",ROUND(K15*N(M15)/100,2),IF(L15="Fixed amount",N(M15),0))))</f>
        <v/>
      </c>
      <c r="O15" s="17"/>
    </row>
    <row r="16" spans="1:15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8"/>
      <c r="L16" s="16"/>
      <c r="M16" s="16"/>
      <c r="N16" s="19" t="str">
        <f>IF(A16="","",IF(K16="",IFERROR(INDEX(Products!$S$3:$S$302,MATCH(A16,Products!$A$3:$A$302,0)),"Product not found"),K16-IF(L16="Percentage",ROUND(K16*N(M16)/100,2),IF(L16="Fixed amount",N(M16),0))))</f>
        <v/>
      </c>
      <c r="O16" s="17"/>
    </row>
    <row r="17" spans="1:15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8"/>
      <c r="L17" s="16"/>
      <c r="M17" s="16"/>
      <c r="N17" s="19" t="str">
        <f>IF(A17="","",IF(K17="",IFERROR(INDEX(Products!$S$3:$S$302,MATCH(A17,Products!$A$3:$A$302,0)),"Product not found"),K17-IF(L17="Percentage",ROUND(K17*N(M17)/100,2),IF(L17="Fixed amount",N(M17),0))))</f>
        <v/>
      </c>
      <c r="O17" s="17"/>
    </row>
    <row r="18" spans="1:15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8"/>
      <c r="L18" s="16"/>
      <c r="M18" s="16"/>
      <c r="N18" s="19" t="str">
        <f>IF(A18="","",IF(K18="",IFERROR(INDEX(Products!$S$3:$S$302,MATCH(A18,Products!$A$3:$A$302,0)),"Product not found"),K18-IF(L18="Percentage",ROUND(K18*N(M18)/100,2),IF(L18="Fixed amount",N(M18),0))))</f>
        <v/>
      </c>
      <c r="O18" s="17"/>
    </row>
    <row r="19" spans="1:15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8"/>
      <c r="L19" s="16"/>
      <c r="M19" s="16"/>
      <c r="N19" s="19" t="str">
        <f>IF(A19="","",IF(K19="",IFERROR(INDEX(Products!$S$3:$S$302,MATCH(A19,Products!$A$3:$A$302,0)),"Product not found"),K19-IF(L19="Percentage",ROUND(K19*N(M19)/100,2),IF(L19="Fixed amount",N(M19),0))))</f>
        <v/>
      </c>
      <c r="O19" s="17"/>
    </row>
    <row r="20" spans="1:15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8"/>
      <c r="L20" s="16"/>
      <c r="M20" s="16"/>
      <c r="N20" s="19" t="str">
        <f>IF(A20="","",IF(K20="",IFERROR(INDEX(Products!$S$3:$S$302,MATCH(A20,Products!$A$3:$A$302,0)),"Product not found"),K20-IF(L20="Percentage",ROUND(K20*N(M20)/100,2),IF(L20="Fixed amount",N(M20),0))))</f>
        <v/>
      </c>
      <c r="O20" s="17"/>
    </row>
    <row r="21" spans="1:15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8"/>
      <c r="L21" s="16"/>
      <c r="M21" s="16"/>
      <c r="N21" s="19" t="str">
        <f>IF(A21="","",IF(K21="",IFERROR(INDEX(Products!$S$3:$S$302,MATCH(A21,Products!$A$3:$A$302,0)),"Product not found"),K21-IF(L21="Percentage",ROUND(K21*N(M21)/100,2),IF(L21="Fixed amount",N(M21),0))))</f>
        <v/>
      </c>
      <c r="O21" s="17"/>
    </row>
    <row r="22" spans="1:15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8"/>
      <c r="L22" s="16"/>
      <c r="M22" s="16"/>
      <c r="N22" s="19" t="str">
        <f>IF(A22="","",IF(K22="",IFERROR(INDEX(Products!$S$3:$S$302,MATCH(A22,Products!$A$3:$A$302,0)),"Product not found"),K22-IF(L22="Percentage",ROUND(K22*N(M22)/100,2),IF(L22="Fixed amount",N(M22),0))))</f>
        <v/>
      </c>
      <c r="O22" s="17"/>
    </row>
    <row r="23" spans="1:15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8"/>
      <c r="L23" s="16"/>
      <c r="M23" s="16"/>
      <c r="N23" s="19" t="str">
        <f>IF(A23="","",IF(K23="",IFERROR(INDEX(Products!$S$3:$S$302,MATCH(A23,Products!$A$3:$A$302,0)),"Product not found"),K23-IF(L23="Percentage",ROUND(K23*N(M23)/100,2),IF(L23="Fixed amount",N(M23),0))))</f>
        <v/>
      </c>
      <c r="O23" s="17"/>
    </row>
    <row r="24" spans="1:15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8"/>
      <c r="L24" s="16"/>
      <c r="M24" s="16"/>
      <c r="N24" s="19" t="str">
        <f>IF(A24="","",IF(K24="",IFERROR(INDEX(Products!$S$3:$S$302,MATCH(A24,Products!$A$3:$A$302,0)),"Product not found"),K24-IF(L24="Percentage",ROUND(K24*N(M24)/100,2),IF(L24="Fixed amount",N(M24),0))))</f>
        <v/>
      </c>
      <c r="O24" s="17"/>
    </row>
    <row r="25" spans="1:15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8"/>
      <c r="L25" s="16"/>
      <c r="M25" s="16"/>
      <c r="N25" s="19" t="str">
        <f>IF(A25="","",IF(K25="",IFERROR(INDEX(Products!$S$3:$S$302,MATCH(A25,Products!$A$3:$A$302,0)),"Product not found"),K25-IF(L25="Percentage",ROUND(K25*N(M25)/100,2),IF(L25="Fixed amount",N(M25),0))))</f>
        <v/>
      </c>
      <c r="O25" s="17"/>
    </row>
    <row r="26" spans="1:15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8"/>
      <c r="L26" s="16"/>
      <c r="M26" s="16"/>
      <c r="N26" s="19" t="str">
        <f>IF(A26="","",IF(K26="",IFERROR(INDEX(Products!$S$3:$S$302,MATCH(A26,Products!$A$3:$A$302,0)),"Product not found"),K26-IF(L26="Percentage",ROUND(K26*N(M26)/100,2),IF(L26="Fixed amount",N(M26),0))))</f>
        <v/>
      </c>
      <c r="O26" s="17"/>
    </row>
    <row r="27" spans="1:15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8"/>
      <c r="L27" s="16"/>
      <c r="M27" s="16"/>
      <c r="N27" s="19" t="str">
        <f>IF(A27="","",IF(K27="",IFERROR(INDEX(Products!$S$3:$S$302,MATCH(A27,Products!$A$3:$A$302,0)),"Product not found"),K27-IF(L27="Percentage",ROUND(K27*N(M27)/100,2),IF(L27="Fixed amount",N(M27),0))))</f>
        <v/>
      </c>
      <c r="O27" s="17"/>
    </row>
    <row r="28" spans="1:15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8"/>
      <c r="L28" s="16"/>
      <c r="M28" s="16"/>
      <c r="N28" s="19" t="str">
        <f>IF(A28="","",IF(K28="",IFERROR(INDEX(Products!$S$3:$S$302,MATCH(A28,Products!$A$3:$A$302,0)),"Product not found"),K28-IF(L28="Percentage",ROUND(K28*N(M28)/100,2),IF(L28="Fixed amount",N(M28),0))))</f>
        <v/>
      </c>
      <c r="O28" s="17"/>
    </row>
    <row r="29" spans="1:15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8"/>
      <c r="L29" s="16"/>
      <c r="M29" s="16"/>
      <c r="N29" s="19" t="str">
        <f>IF(A29="","",IF(K29="",IFERROR(INDEX(Products!$S$3:$S$302,MATCH(A29,Products!$A$3:$A$302,0)),"Product not found"),K29-IF(L29="Percentage",ROUND(K29*N(M29)/100,2),IF(L29="Fixed amount",N(M29),0))))</f>
        <v/>
      </c>
      <c r="O29" s="17"/>
    </row>
    <row r="30" spans="1:15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8"/>
      <c r="L30" s="16"/>
      <c r="M30" s="16"/>
      <c r="N30" s="19" t="str">
        <f>IF(A30="","",IF(K30="",IFERROR(INDEX(Products!$S$3:$S$302,MATCH(A30,Products!$A$3:$A$302,0)),"Product not found"),K30-IF(L30="Percentage",ROUND(K30*N(M30)/100,2),IF(L30="Fixed amount",N(M30),0))))</f>
        <v/>
      </c>
      <c r="O30" s="17"/>
    </row>
    <row r="31" spans="1:15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8"/>
      <c r="L31" s="16"/>
      <c r="M31" s="16"/>
      <c r="N31" s="19" t="str">
        <f>IF(A31="","",IF(K31="",IFERROR(INDEX(Products!$S$3:$S$302,MATCH(A31,Products!$A$3:$A$302,0)),"Product not found"),K31-IF(L31="Percentage",ROUND(K31*N(M31)/100,2),IF(L31="Fixed amount",N(M31),0))))</f>
        <v/>
      </c>
      <c r="O31" s="17"/>
    </row>
    <row r="32" spans="1:15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8"/>
      <c r="L32" s="16"/>
      <c r="M32" s="16"/>
      <c r="N32" s="19" t="str">
        <f>IF(A32="","",IF(K32="",IFERROR(INDEX(Products!$S$3:$S$302,MATCH(A32,Products!$A$3:$A$302,0)),"Product not found"),K32-IF(L32="Percentage",ROUND(K32*N(M32)/100,2),IF(L32="Fixed amount",N(M32),0))))</f>
        <v/>
      </c>
      <c r="O32" s="17"/>
    </row>
    <row r="33" spans="1:15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8"/>
      <c r="L33" s="16"/>
      <c r="M33" s="16"/>
      <c r="N33" s="19" t="str">
        <f>IF(A33="","",IF(K33="",IFERROR(INDEX(Products!$S$3:$S$302,MATCH(A33,Products!$A$3:$A$302,0)),"Product not found"),K33-IF(L33="Percentage",ROUND(K33*N(M33)/100,2),IF(L33="Fixed amount",N(M33),0))))</f>
        <v/>
      </c>
      <c r="O33" s="17"/>
    </row>
    <row r="34" spans="1:15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8"/>
      <c r="L34" s="16"/>
      <c r="M34" s="16"/>
      <c r="N34" s="19" t="str">
        <f>IF(A34="","",IF(K34="",IFERROR(INDEX(Products!$S$3:$S$302,MATCH(A34,Products!$A$3:$A$302,0)),"Product not found"),K34-IF(L34="Percentage",ROUND(K34*N(M34)/100,2),IF(L34="Fixed amount",N(M34),0))))</f>
        <v/>
      </c>
      <c r="O34" s="17"/>
    </row>
    <row r="35" spans="1:15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8"/>
      <c r="L35" s="16"/>
      <c r="M35" s="16"/>
      <c r="N35" s="19" t="str">
        <f>IF(A35="","",IF(K35="",IFERROR(INDEX(Products!$S$3:$S$302,MATCH(A35,Products!$A$3:$A$302,0)),"Product not found"),K35-IF(L35="Percentage",ROUND(K35*N(M35)/100,2),IF(L35="Fixed amount",N(M35),0))))</f>
        <v/>
      </c>
      <c r="O35" s="17"/>
    </row>
    <row r="36" spans="1:15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8"/>
      <c r="L36" s="16"/>
      <c r="M36" s="16"/>
      <c r="N36" s="19" t="str">
        <f>IF(A36="","",IF(K36="",IFERROR(INDEX(Products!$S$3:$S$302,MATCH(A36,Products!$A$3:$A$302,0)),"Product not found"),K36-IF(L36="Percentage",ROUND(K36*N(M36)/100,2),IF(L36="Fixed amount",N(M36),0))))</f>
        <v/>
      </c>
      <c r="O36" s="17"/>
    </row>
    <row r="37" spans="1:15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8"/>
      <c r="L37" s="16"/>
      <c r="M37" s="16"/>
      <c r="N37" s="19" t="str">
        <f>IF(A37="","",IF(K37="",IFERROR(INDEX(Products!$S$3:$S$302,MATCH(A37,Products!$A$3:$A$302,0)),"Product not found"),K37-IF(L37="Percentage",ROUND(K37*N(M37)/100,2),IF(L37="Fixed amount",N(M37),0))))</f>
        <v/>
      </c>
      <c r="O37" s="17"/>
    </row>
    <row r="38" spans="1:15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8"/>
      <c r="L38" s="16"/>
      <c r="M38" s="16"/>
      <c r="N38" s="19" t="str">
        <f>IF(A38="","",IF(K38="",IFERROR(INDEX(Products!$S$3:$S$302,MATCH(A38,Products!$A$3:$A$302,0)),"Product not found"),K38-IF(L38="Percentage",ROUND(K38*N(M38)/100,2),IF(L38="Fixed amount",N(M38),0))))</f>
        <v/>
      </c>
      <c r="O38" s="17"/>
    </row>
    <row r="39" spans="1:15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8"/>
      <c r="L39" s="16"/>
      <c r="M39" s="16"/>
      <c r="N39" s="19" t="str">
        <f>IF(A39="","",IF(K39="",IFERROR(INDEX(Products!$S$3:$S$302,MATCH(A39,Products!$A$3:$A$302,0)),"Product not found"),K39-IF(L39="Percentage",ROUND(K39*N(M39)/100,2),IF(L39="Fixed amount",N(M39),0))))</f>
        <v/>
      </c>
      <c r="O39" s="17"/>
    </row>
    <row r="40" spans="1:15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8"/>
      <c r="L40" s="16"/>
      <c r="M40" s="16"/>
      <c r="N40" s="19" t="str">
        <f>IF(A40="","",IF(K40="",IFERROR(INDEX(Products!$S$3:$S$302,MATCH(A40,Products!$A$3:$A$302,0)),"Product not found"),K40-IF(L40="Percentage",ROUND(K40*N(M40)/100,2),IF(L40="Fixed amount",N(M40),0))))</f>
        <v/>
      </c>
      <c r="O40" s="17"/>
    </row>
    <row r="41" spans="1:15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8"/>
      <c r="L41" s="16"/>
      <c r="M41" s="16"/>
      <c r="N41" s="19" t="str">
        <f>IF(A41="","",IF(K41="",IFERROR(INDEX(Products!$S$3:$S$302,MATCH(A41,Products!$A$3:$A$302,0)),"Product not found"),K41-IF(L41="Percentage",ROUND(K41*N(M41)/100,2),IF(L41="Fixed amount",N(M41),0))))</f>
        <v/>
      </c>
      <c r="O41" s="17"/>
    </row>
    <row r="42" spans="1:15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8"/>
      <c r="L42" s="16"/>
      <c r="M42" s="16"/>
      <c r="N42" s="19" t="str">
        <f>IF(A42="","",IF(K42="",IFERROR(INDEX(Products!$S$3:$S$302,MATCH(A42,Products!$A$3:$A$302,0)),"Product not found"),K42-IF(L42="Percentage",ROUND(K42*N(M42)/100,2),IF(L42="Fixed amount",N(M42),0))))</f>
        <v/>
      </c>
      <c r="O42" s="17"/>
    </row>
    <row r="43" spans="1:15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8"/>
      <c r="L43" s="16"/>
      <c r="M43" s="16"/>
      <c r="N43" s="19" t="str">
        <f>IF(A43="","",IF(K43="",IFERROR(INDEX(Products!$S$3:$S$302,MATCH(A43,Products!$A$3:$A$302,0)),"Product not found"),K43-IF(L43="Percentage",ROUND(K43*N(M43)/100,2),IF(L43="Fixed amount",N(M43),0))))</f>
        <v/>
      </c>
      <c r="O43" s="17"/>
    </row>
    <row r="44" spans="1:15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8"/>
      <c r="L44" s="16"/>
      <c r="M44" s="16"/>
      <c r="N44" s="19" t="str">
        <f>IF(A44="","",IF(K44="",IFERROR(INDEX(Products!$S$3:$S$302,MATCH(A44,Products!$A$3:$A$302,0)),"Product not found"),K44-IF(L44="Percentage",ROUND(K44*N(M44)/100,2),IF(L44="Fixed amount",N(M44),0))))</f>
        <v/>
      </c>
      <c r="O44" s="17"/>
    </row>
    <row r="45" spans="1:15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8"/>
      <c r="L45" s="16"/>
      <c r="M45" s="16"/>
      <c r="N45" s="19" t="str">
        <f>IF(A45="","",IF(K45="",IFERROR(INDEX(Products!$S$3:$S$302,MATCH(A45,Products!$A$3:$A$302,0)),"Product not found"),K45-IF(L45="Percentage",ROUND(K45*N(M45)/100,2),IF(L45="Fixed amount",N(M45),0))))</f>
        <v/>
      </c>
      <c r="O45" s="17"/>
    </row>
    <row r="46" spans="1:15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8"/>
      <c r="L46" s="16"/>
      <c r="M46" s="16"/>
      <c r="N46" s="19" t="str">
        <f>IF(A46="","",IF(K46="",IFERROR(INDEX(Products!$S$3:$S$302,MATCH(A46,Products!$A$3:$A$302,0)),"Product not found"),K46-IF(L46="Percentage",ROUND(K46*N(M46)/100,2),IF(L46="Fixed amount",N(M46),0))))</f>
        <v/>
      </c>
      <c r="O46" s="17"/>
    </row>
    <row r="47" spans="1:15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8"/>
      <c r="L47" s="16"/>
      <c r="M47" s="16"/>
      <c r="N47" s="19" t="str">
        <f>IF(A47="","",IF(K47="",IFERROR(INDEX(Products!$S$3:$S$302,MATCH(A47,Products!$A$3:$A$302,0)),"Product not found"),K47-IF(L47="Percentage",ROUND(K47*N(M47)/100,2),IF(L47="Fixed amount",N(M47),0))))</f>
        <v/>
      </c>
      <c r="O47" s="17"/>
    </row>
    <row r="48" spans="1:15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8"/>
      <c r="L48" s="16"/>
      <c r="M48" s="16"/>
      <c r="N48" s="19" t="str">
        <f>IF(A48="","",IF(K48="",IFERROR(INDEX(Products!$S$3:$S$302,MATCH(A48,Products!$A$3:$A$302,0)),"Product not found"),K48-IF(L48="Percentage",ROUND(K48*N(M48)/100,2),IF(L48="Fixed amount",N(M48),0))))</f>
        <v/>
      </c>
      <c r="O48" s="17"/>
    </row>
    <row r="49" spans="1:15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8"/>
      <c r="L49" s="16"/>
      <c r="M49" s="16"/>
      <c r="N49" s="19" t="str">
        <f>IF(A49="","",IF(K49="",IFERROR(INDEX(Products!$S$3:$S$302,MATCH(A49,Products!$A$3:$A$302,0)),"Product not found"),K49-IF(L49="Percentage",ROUND(K49*N(M49)/100,2),IF(L49="Fixed amount",N(M49),0))))</f>
        <v/>
      </c>
      <c r="O49" s="17"/>
    </row>
    <row r="50" spans="1:15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8"/>
      <c r="L50" s="16"/>
      <c r="M50" s="16"/>
      <c r="N50" s="19" t="str">
        <f>IF(A50="","",IF(K50="",IFERROR(INDEX(Products!$S$3:$S$302,MATCH(A50,Products!$A$3:$A$302,0)),"Product not found"),K50-IF(L50="Percentage",ROUND(K50*N(M50)/100,2),IF(L50="Fixed amount",N(M50),0))))</f>
        <v/>
      </c>
      <c r="O50" s="17"/>
    </row>
    <row r="51" spans="1:15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8"/>
      <c r="L51" s="16"/>
      <c r="M51" s="16"/>
      <c r="N51" s="19" t="str">
        <f>IF(A51="","",IF(K51="",IFERROR(INDEX(Products!$S$3:$S$302,MATCH(A51,Products!$A$3:$A$302,0)),"Product not found"),K51-IF(L51="Percentage",ROUND(K51*N(M51)/100,2),IF(L51="Fixed amount",N(M51),0))))</f>
        <v/>
      </c>
      <c r="O51" s="17"/>
    </row>
    <row r="52" spans="1:15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8"/>
      <c r="L52" s="16"/>
      <c r="M52" s="16"/>
      <c r="N52" s="19" t="str">
        <f>IF(A52="","",IF(K52="",IFERROR(INDEX(Products!$S$3:$S$302,MATCH(A52,Products!$A$3:$A$302,0)),"Product not found"),K52-IF(L52="Percentage",ROUND(K52*N(M52)/100,2),IF(L52="Fixed amount",N(M52),0))))</f>
        <v/>
      </c>
      <c r="O52" s="17"/>
    </row>
    <row r="53" spans="1:15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8"/>
      <c r="L53" s="16"/>
      <c r="M53" s="16"/>
      <c r="N53" s="19" t="str">
        <f>IF(A53="","",IF(K53="",IFERROR(INDEX(Products!$S$3:$S$302,MATCH(A53,Products!$A$3:$A$302,0)),"Product not found"),K53-IF(L53="Percentage",ROUND(K53*N(M53)/100,2),IF(L53="Fixed amount",N(M53),0))))</f>
        <v/>
      </c>
      <c r="O53" s="17"/>
    </row>
    <row r="54" spans="1:15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8"/>
      <c r="L54" s="16"/>
      <c r="M54" s="16"/>
      <c r="N54" s="19" t="str">
        <f>IF(A54="","",IF(K54="",IFERROR(INDEX(Products!$S$3:$S$302,MATCH(A54,Products!$A$3:$A$302,0)),"Product not found"),K54-IF(L54="Percentage",ROUND(K54*N(M54)/100,2),IF(L54="Fixed amount",N(M54),0))))</f>
        <v/>
      </c>
      <c r="O54" s="17"/>
    </row>
    <row r="55" spans="1:15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8"/>
      <c r="L55" s="16"/>
      <c r="M55" s="16"/>
      <c r="N55" s="19" t="str">
        <f>IF(A55="","",IF(K55="",IFERROR(INDEX(Products!$S$3:$S$302,MATCH(A55,Products!$A$3:$A$302,0)),"Product not found"),K55-IF(L55="Percentage",ROUND(K55*N(M55)/100,2),IF(L55="Fixed amount",N(M55),0))))</f>
        <v/>
      </c>
      <c r="O55" s="17"/>
    </row>
    <row r="56" spans="1:15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8"/>
      <c r="L56" s="16"/>
      <c r="M56" s="16"/>
      <c r="N56" s="19" t="str">
        <f>IF(A56="","",IF(K56="",IFERROR(INDEX(Products!$S$3:$S$302,MATCH(A56,Products!$A$3:$A$302,0)),"Product not found"),K56-IF(L56="Percentage",ROUND(K56*N(M56)/100,2),IF(L56="Fixed amount",N(M56),0))))</f>
        <v/>
      </c>
      <c r="O56" s="17"/>
    </row>
    <row r="57" spans="1:15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8"/>
      <c r="L57" s="16"/>
      <c r="M57" s="16"/>
      <c r="N57" s="19" t="str">
        <f>IF(A57="","",IF(K57="",IFERROR(INDEX(Products!$S$3:$S$302,MATCH(A57,Products!$A$3:$A$302,0)),"Product not found"),K57-IF(L57="Percentage",ROUND(K57*N(M57)/100,2),IF(L57="Fixed amount",N(M57),0))))</f>
        <v/>
      </c>
      <c r="O57" s="17"/>
    </row>
    <row r="58" spans="1:15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8"/>
      <c r="L58" s="16"/>
      <c r="M58" s="16"/>
      <c r="N58" s="19" t="str">
        <f>IF(A58="","",IF(K58="",IFERROR(INDEX(Products!$S$3:$S$302,MATCH(A58,Products!$A$3:$A$302,0)),"Product not found"),K58-IF(L58="Percentage",ROUND(K58*N(M58)/100,2),IF(L58="Fixed amount",N(M58),0))))</f>
        <v/>
      </c>
      <c r="O58" s="17"/>
    </row>
    <row r="59" spans="1:15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8"/>
      <c r="L59" s="16"/>
      <c r="M59" s="16"/>
      <c r="N59" s="19" t="str">
        <f>IF(A59="","",IF(K59="",IFERROR(INDEX(Products!$S$3:$S$302,MATCH(A59,Products!$A$3:$A$302,0)),"Product not found"),K59-IF(L59="Percentage",ROUND(K59*N(M59)/100,2),IF(L59="Fixed amount",N(M59),0))))</f>
        <v/>
      </c>
      <c r="O59" s="17"/>
    </row>
    <row r="60" spans="1:15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8"/>
      <c r="L60" s="16"/>
      <c r="M60" s="16"/>
      <c r="N60" s="19" t="str">
        <f>IF(A60="","",IF(K60="",IFERROR(INDEX(Products!$S$3:$S$302,MATCH(A60,Products!$A$3:$A$302,0)),"Product not found"),K60-IF(L60="Percentage",ROUND(K60*N(M60)/100,2),IF(L60="Fixed amount",N(M60),0))))</f>
        <v/>
      </c>
      <c r="O60" s="17"/>
    </row>
    <row r="61" spans="1:15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8"/>
      <c r="L61" s="16"/>
      <c r="M61" s="16"/>
      <c r="N61" s="19" t="str">
        <f>IF(A61="","",IF(K61="",IFERROR(INDEX(Products!$S$3:$S$302,MATCH(A61,Products!$A$3:$A$302,0)),"Product not found"),K61-IF(L61="Percentage",ROUND(K61*N(M61)/100,2),IF(L61="Fixed amount",N(M61),0))))</f>
        <v/>
      </c>
      <c r="O61" s="17"/>
    </row>
    <row r="62" spans="1:15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8"/>
      <c r="L62" s="16"/>
      <c r="M62" s="16"/>
      <c r="N62" s="19" t="str">
        <f>IF(A62="","",IF(K62="",IFERROR(INDEX(Products!$S$3:$S$302,MATCH(A62,Products!$A$3:$A$302,0)),"Product not found"),K62-IF(L62="Percentage",ROUND(K62*N(M62)/100,2),IF(L62="Fixed amount",N(M62),0))))</f>
        <v/>
      </c>
      <c r="O62" s="17"/>
    </row>
    <row r="63" spans="1:15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8"/>
      <c r="L63" s="16"/>
      <c r="M63" s="16"/>
      <c r="N63" s="19" t="str">
        <f>IF(A63="","",IF(K63="",IFERROR(INDEX(Products!$S$3:$S$302,MATCH(A63,Products!$A$3:$A$302,0)),"Product not found"),K63-IF(L63="Percentage",ROUND(K63*N(M63)/100,2),IF(L63="Fixed amount",N(M63),0))))</f>
        <v/>
      </c>
      <c r="O63" s="17"/>
    </row>
    <row r="64" spans="1:15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8"/>
      <c r="L64" s="16"/>
      <c r="M64" s="16"/>
      <c r="N64" s="19" t="str">
        <f>IF(A64="","",IF(K64="",IFERROR(INDEX(Products!$S$3:$S$302,MATCH(A64,Products!$A$3:$A$302,0)),"Product not found"),K64-IF(L64="Percentage",ROUND(K64*N(M64)/100,2),IF(L64="Fixed amount",N(M64),0))))</f>
        <v/>
      </c>
      <c r="O64" s="17"/>
    </row>
    <row r="65" spans="1:15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8"/>
      <c r="L65" s="16"/>
      <c r="M65" s="16"/>
      <c r="N65" s="19" t="str">
        <f>IF(A65="","",IF(K65="",IFERROR(INDEX(Products!$S$3:$S$302,MATCH(A65,Products!$A$3:$A$302,0)),"Product not found"),K65-IF(L65="Percentage",ROUND(K65*N(M65)/100,2),IF(L65="Fixed amount",N(M65),0))))</f>
        <v/>
      </c>
      <c r="O65" s="17"/>
    </row>
    <row r="66" spans="1:15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8"/>
      <c r="L66" s="16"/>
      <c r="M66" s="16"/>
      <c r="N66" s="19" t="str">
        <f>IF(A66="","",IF(K66="",IFERROR(INDEX(Products!$S$3:$S$302,MATCH(A66,Products!$A$3:$A$302,0)),"Product not found"),K66-IF(L66="Percentage",ROUND(K66*N(M66)/100,2),IF(L66="Fixed amount",N(M66),0))))</f>
        <v/>
      </c>
      <c r="O66" s="17"/>
    </row>
    <row r="67" spans="1:15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8"/>
      <c r="L67" s="16"/>
      <c r="M67" s="16"/>
      <c r="N67" s="19" t="str">
        <f>IF(A67="","",IF(K67="",IFERROR(INDEX(Products!$S$3:$S$302,MATCH(A67,Products!$A$3:$A$302,0)),"Product not found"),K67-IF(L67="Percentage",ROUND(K67*N(M67)/100,2),IF(L67="Fixed amount",N(M67),0))))</f>
        <v/>
      </c>
      <c r="O67" s="17"/>
    </row>
    <row r="68" spans="1:15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8"/>
      <c r="L68" s="16"/>
      <c r="M68" s="16"/>
      <c r="N68" s="19" t="str">
        <f>IF(A68="","",IF(K68="",IFERROR(INDEX(Products!$S$3:$S$302,MATCH(A68,Products!$A$3:$A$302,0)),"Product not found"),K68-IF(L68="Percentage",ROUND(K68*N(M68)/100,2),IF(L68="Fixed amount",N(M68),0))))</f>
        <v/>
      </c>
      <c r="O68" s="17"/>
    </row>
    <row r="69" spans="1:15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8"/>
      <c r="L69" s="16"/>
      <c r="M69" s="16"/>
      <c r="N69" s="19" t="str">
        <f>IF(A69="","",IF(K69="",IFERROR(INDEX(Products!$S$3:$S$302,MATCH(A69,Products!$A$3:$A$302,0)),"Product not found"),K69-IF(L69="Percentage",ROUND(K69*N(M69)/100,2),IF(L69="Fixed amount",N(M69),0))))</f>
        <v/>
      </c>
      <c r="O69" s="17"/>
    </row>
    <row r="70" spans="1:15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8"/>
      <c r="L70" s="16"/>
      <c r="M70" s="16"/>
      <c r="N70" s="19" t="str">
        <f>IF(A70="","",IF(K70="",IFERROR(INDEX(Products!$S$3:$S$302,MATCH(A70,Products!$A$3:$A$302,0)),"Product not found"),K70-IF(L70="Percentage",ROUND(K70*N(M70)/100,2),IF(L70="Fixed amount",N(M70),0))))</f>
        <v/>
      </c>
      <c r="O70" s="17"/>
    </row>
    <row r="71" spans="1:15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8"/>
      <c r="L71" s="16"/>
      <c r="M71" s="16"/>
      <c r="N71" s="19" t="str">
        <f>IF(A71="","",IF(K71="",IFERROR(INDEX(Products!$S$3:$S$302,MATCH(A71,Products!$A$3:$A$302,0)),"Product not found"),K71-IF(L71="Percentage",ROUND(K71*N(M71)/100,2),IF(L71="Fixed amount",N(M71),0))))</f>
        <v/>
      </c>
      <c r="O71" s="17"/>
    </row>
    <row r="72" spans="1:15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8"/>
      <c r="L72" s="16"/>
      <c r="M72" s="16"/>
      <c r="N72" s="19" t="str">
        <f>IF(A72="","",IF(K72="",IFERROR(INDEX(Products!$S$3:$S$302,MATCH(A72,Products!$A$3:$A$302,0)),"Product not found"),K72-IF(L72="Percentage",ROUND(K72*N(M72)/100,2),IF(L72="Fixed amount",N(M72),0))))</f>
        <v/>
      </c>
      <c r="O72" s="17"/>
    </row>
    <row r="73" spans="1:15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8"/>
      <c r="L73" s="16"/>
      <c r="M73" s="16"/>
      <c r="N73" s="19" t="str">
        <f>IF(A73="","",IF(K73="",IFERROR(INDEX(Products!$S$3:$S$302,MATCH(A73,Products!$A$3:$A$302,0)),"Product not found"),K73-IF(L73="Percentage",ROUND(K73*N(M73)/100,2),IF(L73="Fixed amount",N(M73),0))))</f>
        <v/>
      </c>
      <c r="O73" s="17"/>
    </row>
    <row r="74" spans="1:15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8"/>
      <c r="L74" s="16"/>
      <c r="M74" s="16"/>
      <c r="N74" s="19" t="str">
        <f>IF(A74="","",IF(K74="",IFERROR(INDEX(Products!$S$3:$S$302,MATCH(A74,Products!$A$3:$A$302,0)),"Product not found"),K74-IF(L74="Percentage",ROUND(K74*N(M74)/100,2),IF(L74="Fixed amount",N(M74),0))))</f>
        <v/>
      </c>
      <c r="O74" s="17"/>
    </row>
    <row r="75" spans="1:15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8"/>
      <c r="L75" s="16"/>
      <c r="M75" s="16"/>
      <c r="N75" s="19" t="str">
        <f>IF(A75="","",IF(K75="",IFERROR(INDEX(Products!$S$3:$S$302,MATCH(A75,Products!$A$3:$A$302,0)),"Product not found"),K75-IF(L75="Percentage",ROUND(K75*N(M75)/100,2),IF(L75="Fixed amount",N(M75),0))))</f>
        <v/>
      </c>
      <c r="O75" s="17"/>
    </row>
    <row r="76" spans="1:15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8"/>
      <c r="L76" s="16"/>
      <c r="M76" s="16"/>
      <c r="N76" s="19" t="str">
        <f>IF(A76="","",IF(K76="",IFERROR(INDEX(Products!$S$3:$S$302,MATCH(A76,Products!$A$3:$A$302,0)),"Product not found"),K76-IF(L76="Percentage",ROUND(K76*N(M76)/100,2),IF(L76="Fixed amount",N(M76),0))))</f>
        <v/>
      </c>
      <c r="O76" s="17"/>
    </row>
    <row r="77" spans="1:15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8"/>
      <c r="L77" s="16"/>
      <c r="M77" s="16"/>
      <c r="N77" s="19" t="str">
        <f>IF(A77="","",IF(K77="",IFERROR(INDEX(Products!$S$3:$S$302,MATCH(A77,Products!$A$3:$A$302,0)),"Product not found"),K77-IF(L77="Percentage",ROUND(K77*N(M77)/100,2),IF(L77="Fixed amount",N(M77),0))))</f>
        <v/>
      </c>
      <c r="O77" s="17"/>
    </row>
    <row r="78" spans="1:15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8"/>
      <c r="L78" s="16"/>
      <c r="M78" s="16"/>
      <c r="N78" s="19" t="str">
        <f>IF(A78="","",IF(K78="",IFERROR(INDEX(Products!$S$3:$S$302,MATCH(A78,Products!$A$3:$A$302,0)),"Product not found"),K78-IF(L78="Percentage",ROUND(K78*N(M78)/100,2),IF(L78="Fixed amount",N(M78),0))))</f>
        <v/>
      </c>
      <c r="O78" s="17"/>
    </row>
    <row r="79" spans="1:15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8"/>
      <c r="L79" s="16"/>
      <c r="M79" s="16"/>
      <c r="N79" s="19" t="str">
        <f>IF(A79="","",IF(K79="",IFERROR(INDEX(Products!$S$3:$S$302,MATCH(A79,Products!$A$3:$A$302,0)),"Product not found"),K79-IF(L79="Percentage",ROUND(K79*N(M79)/100,2),IF(L79="Fixed amount",N(M79),0))))</f>
        <v/>
      </c>
      <c r="O79" s="17"/>
    </row>
    <row r="80" spans="1:15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8"/>
      <c r="L80" s="16"/>
      <c r="M80" s="16"/>
      <c r="N80" s="19" t="str">
        <f>IF(A80="","",IF(K80="",IFERROR(INDEX(Products!$S$3:$S$302,MATCH(A80,Products!$A$3:$A$302,0)),"Product not found"),K80-IF(L80="Percentage",ROUND(K80*N(M80)/100,2),IF(L80="Fixed amount",N(M80),0))))</f>
        <v/>
      </c>
      <c r="O80" s="17"/>
    </row>
    <row r="81" spans="1:15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8"/>
      <c r="L81" s="16"/>
      <c r="M81" s="16"/>
      <c r="N81" s="19" t="str">
        <f>IF(A81="","",IF(K81="",IFERROR(INDEX(Products!$S$3:$S$302,MATCH(A81,Products!$A$3:$A$302,0)),"Product not found"),K81-IF(L81="Percentage",ROUND(K81*N(M81)/100,2),IF(L81="Fixed amount",N(M81),0))))</f>
        <v/>
      </c>
      <c r="O81" s="17"/>
    </row>
    <row r="82" spans="1:15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8"/>
      <c r="L82" s="16"/>
      <c r="M82" s="16"/>
      <c r="N82" s="19" t="str">
        <f>IF(A82="","",IF(K82="",IFERROR(INDEX(Products!$S$3:$S$302,MATCH(A82,Products!$A$3:$A$302,0)),"Product not found"),K82-IF(L82="Percentage",ROUND(K82*N(M82)/100,2),IF(L82="Fixed amount",N(M82),0))))</f>
        <v/>
      </c>
      <c r="O82" s="17"/>
    </row>
    <row r="83" spans="1:15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8"/>
      <c r="L83" s="16"/>
      <c r="M83" s="16"/>
      <c r="N83" s="19" t="str">
        <f>IF(A83="","",IF(K83="",IFERROR(INDEX(Products!$S$3:$S$302,MATCH(A83,Products!$A$3:$A$302,0)),"Product not found"),K83-IF(L83="Percentage",ROUND(K83*N(M83)/100,2),IF(L83="Fixed amount",N(M83),0))))</f>
        <v/>
      </c>
      <c r="O83" s="17"/>
    </row>
    <row r="84" spans="1:15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8"/>
      <c r="L84" s="16"/>
      <c r="M84" s="16"/>
      <c r="N84" s="19" t="str">
        <f>IF(A84="","",IF(K84="",IFERROR(INDEX(Products!$S$3:$S$302,MATCH(A84,Products!$A$3:$A$302,0)),"Product not found"),K84-IF(L84="Percentage",ROUND(K84*N(M84)/100,2),IF(L84="Fixed amount",N(M84),0))))</f>
        <v/>
      </c>
      <c r="O84" s="17"/>
    </row>
    <row r="85" spans="1:15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8"/>
      <c r="L85" s="16"/>
      <c r="M85" s="16"/>
      <c r="N85" s="19" t="str">
        <f>IF(A85="","",IF(K85="",IFERROR(INDEX(Products!$S$3:$S$302,MATCH(A85,Products!$A$3:$A$302,0)),"Product not found"),K85-IF(L85="Percentage",ROUND(K85*N(M85)/100,2),IF(L85="Fixed amount",N(M85),0))))</f>
        <v/>
      </c>
      <c r="O85" s="17"/>
    </row>
    <row r="86" spans="1:15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8"/>
      <c r="L86" s="16"/>
      <c r="M86" s="16"/>
      <c r="N86" s="19" t="str">
        <f>IF(A86="","",IF(K86="",IFERROR(INDEX(Products!$S$3:$S$302,MATCH(A86,Products!$A$3:$A$302,0)),"Product not found"),K86-IF(L86="Percentage",ROUND(K86*N(M86)/100,2),IF(L86="Fixed amount",N(M86),0))))</f>
        <v/>
      </c>
      <c r="O86" s="17"/>
    </row>
    <row r="87" spans="1:15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8"/>
      <c r="L87" s="16"/>
      <c r="M87" s="16"/>
      <c r="N87" s="19" t="str">
        <f>IF(A87="","",IF(K87="",IFERROR(INDEX(Products!$S$3:$S$302,MATCH(A87,Products!$A$3:$A$302,0)),"Product not found"),K87-IF(L87="Percentage",ROUND(K87*N(M87)/100,2),IF(L87="Fixed amount",N(M87),0))))</f>
        <v/>
      </c>
      <c r="O87" s="17"/>
    </row>
    <row r="88" spans="1:15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8"/>
      <c r="L88" s="16"/>
      <c r="M88" s="16"/>
      <c r="N88" s="19" t="str">
        <f>IF(A88="","",IF(K88="",IFERROR(INDEX(Products!$S$3:$S$302,MATCH(A88,Products!$A$3:$A$302,0)),"Product not found"),K88-IF(L88="Percentage",ROUND(K88*N(M88)/100,2),IF(L88="Fixed amount",N(M88),0))))</f>
        <v/>
      </c>
      <c r="O88" s="17"/>
    </row>
    <row r="89" spans="1:15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8"/>
      <c r="L89" s="16"/>
      <c r="M89" s="16"/>
      <c r="N89" s="19" t="str">
        <f>IF(A89="","",IF(K89="",IFERROR(INDEX(Products!$S$3:$S$302,MATCH(A89,Products!$A$3:$A$302,0)),"Product not found"),K89-IF(L89="Percentage",ROUND(K89*N(M89)/100,2),IF(L89="Fixed amount",N(M89),0))))</f>
        <v/>
      </c>
      <c r="O89" s="17"/>
    </row>
    <row r="90" spans="1:15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8"/>
      <c r="L90" s="16"/>
      <c r="M90" s="16"/>
      <c r="N90" s="19" t="str">
        <f>IF(A90="","",IF(K90="",IFERROR(INDEX(Products!$S$3:$S$302,MATCH(A90,Products!$A$3:$A$302,0)),"Product not found"),K90-IF(L90="Percentage",ROUND(K90*N(M90)/100,2),IF(L90="Fixed amount",N(M90),0))))</f>
        <v/>
      </c>
      <c r="O90" s="17"/>
    </row>
    <row r="91" spans="1:15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8"/>
      <c r="L91" s="16"/>
      <c r="M91" s="16"/>
      <c r="N91" s="19" t="str">
        <f>IF(A91="","",IF(K91="",IFERROR(INDEX(Products!$S$3:$S$302,MATCH(A91,Products!$A$3:$A$302,0)),"Product not found"),K91-IF(L91="Percentage",ROUND(K91*N(M91)/100,2),IF(L91="Fixed amount",N(M91),0))))</f>
        <v/>
      </c>
      <c r="O91" s="17"/>
    </row>
    <row r="92" spans="1:15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8"/>
      <c r="L92" s="16"/>
      <c r="M92" s="16"/>
      <c r="N92" s="19" t="str">
        <f>IF(A92="","",IF(K92="",IFERROR(INDEX(Products!$S$3:$S$302,MATCH(A92,Products!$A$3:$A$302,0)),"Product not found"),K92-IF(L92="Percentage",ROUND(K92*N(M92)/100,2),IF(L92="Fixed amount",N(M92),0))))</f>
        <v/>
      </c>
      <c r="O92" s="17"/>
    </row>
    <row r="93" spans="1:15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8"/>
      <c r="L93" s="16"/>
      <c r="M93" s="16"/>
      <c r="N93" s="19" t="str">
        <f>IF(A93="","",IF(K93="",IFERROR(INDEX(Products!$S$3:$S$302,MATCH(A93,Products!$A$3:$A$302,0)),"Product not found"),K93-IF(L93="Percentage",ROUND(K93*N(M93)/100,2),IF(L93="Fixed amount",N(M93),0))))</f>
        <v/>
      </c>
      <c r="O93" s="17"/>
    </row>
    <row r="94" spans="1:15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8"/>
      <c r="L94" s="16"/>
      <c r="M94" s="16"/>
      <c r="N94" s="19" t="str">
        <f>IF(A94="","",IF(K94="",IFERROR(INDEX(Products!$S$3:$S$302,MATCH(A94,Products!$A$3:$A$302,0)),"Product not found"),K94-IF(L94="Percentage",ROUND(K94*N(M94)/100,2),IF(L94="Fixed amount",N(M94),0))))</f>
        <v/>
      </c>
      <c r="O94" s="17"/>
    </row>
    <row r="95" spans="1:15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8"/>
      <c r="L95" s="16"/>
      <c r="M95" s="16"/>
      <c r="N95" s="19" t="str">
        <f>IF(A95="","",IF(K95="",IFERROR(INDEX(Products!$S$3:$S$302,MATCH(A95,Products!$A$3:$A$302,0)),"Product not found"),K95-IF(L95="Percentage",ROUND(K95*N(M95)/100,2),IF(L95="Fixed amount",N(M95),0))))</f>
        <v/>
      </c>
      <c r="O95" s="17"/>
    </row>
    <row r="96" spans="1:15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8"/>
      <c r="L96" s="16"/>
      <c r="M96" s="16"/>
      <c r="N96" s="19" t="str">
        <f>IF(A96="","",IF(K96="",IFERROR(INDEX(Products!$S$3:$S$302,MATCH(A96,Products!$A$3:$A$302,0)),"Product not found"),K96-IF(L96="Percentage",ROUND(K96*N(M96)/100,2),IF(L96="Fixed amount",N(M96),0))))</f>
        <v/>
      </c>
      <c r="O96" s="17"/>
    </row>
    <row r="97" spans="1:15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8"/>
      <c r="L97" s="16"/>
      <c r="M97" s="16"/>
      <c r="N97" s="19" t="str">
        <f>IF(A97="","",IF(K97="",IFERROR(INDEX(Products!$S$3:$S$302,MATCH(A97,Products!$A$3:$A$302,0)),"Product not found"),K97-IF(L97="Percentage",ROUND(K97*N(M97)/100,2),IF(L97="Fixed amount",N(M97),0))))</f>
        <v/>
      </c>
      <c r="O97" s="17"/>
    </row>
    <row r="98" spans="1:15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8"/>
      <c r="L98" s="16"/>
      <c r="M98" s="16"/>
      <c r="N98" s="19" t="str">
        <f>IF(A98="","",IF(K98="",IFERROR(INDEX(Products!$S$3:$S$302,MATCH(A98,Products!$A$3:$A$302,0)),"Product not found"),K98-IF(L98="Percentage",ROUND(K98*N(M98)/100,2),IF(L98="Fixed amount",N(M98),0))))</f>
        <v/>
      </c>
      <c r="O98" s="17"/>
    </row>
    <row r="99" spans="1:15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8"/>
      <c r="L99" s="16"/>
      <c r="M99" s="16"/>
      <c r="N99" s="19" t="str">
        <f>IF(A99="","",IF(K99="",IFERROR(INDEX(Products!$S$3:$S$302,MATCH(A99,Products!$A$3:$A$302,0)),"Product not found"),K99-IF(L99="Percentage",ROUND(K99*N(M99)/100,2),IF(L99="Fixed amount",N(M99),0))))</f>
        <v/>
      </c>
      <c r="O99" s="17"/>
    </row>
    <row r="100" spans="1:15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8"/>
      <c r="L100" s="16"/>
      <c r="M100" s="16"/>
      <c r="N100" s="19" t="str">
        <f>IF(A100="","",IF(K100="",IFERROR(INDEX(Products!$S$3:$S$302,MATCH(A100,Products!$A$3:$A$302,0)),"Product not found"),K100-IF(L100="Percentage",ROUND(K100*N(M100)/100,2),IF(L100="Fixed amount",N(M100),0))))</f>
        <v/>
      </c>
      <c r="O100" s="17"/>
    </row>
    <row r="101" spans="1:15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8"/>
      <c r="L101" s="16"/>
      <c r="M101" s="16"/>
      <c r="N101" s="19" t="str">
        <f>IF(A101="","",IF(K101="",IFERROR(INDEX(Products!$S$3:$S$302,MATCH(A101,Products!$A$3:$A$302,0)),"Product not found"),K101-IF(L101="Percentage",ROUND(K101*N(M101)/100,2),IF(L101="Fixed amount",N(M101),0))))</f>
        <v/>
      </c>
      <c r="O101" s="17"/>
    </row>
    <row r="102" spans="1:15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8"/>
      <c r="L102" s="16"/>
      <c r="M102" s="16"/>
      <c r="N102" s="19" t="str">
        <f>IF(A102="","",IF(K102="",IFERROR(INDEX(Products!$S$3:$S$302,MATCH(A102,Products!$A$3:$A$302,0)),"Product not found"),K102-IF(L102="Percentage",ROUND(K102*N(M102)/100,2),IF(L102="Fixed amount",N(M102),0))))</f>
        <v/>
      </c>
      <c r="O102" s="17"/>
    </row>
    <row r="103" spans="1:15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8"/>
      <c r="L103" s="16"/>
      <c r="M103" s="16"/>
      <c r="N103" s="19" t="str">
        <f>IF(A103="","",IF(K103="",IFERROR(INDEX(Products!$S$3:$S$302,MATCH(A103,Products!$A$3:$A$302,0)),"Product not found"),K103-IF(L103="Percentage",ROUND(K103*N(M103)/100,2),IF(L103="Fixed amount",N(M103),0))))</f>
        <v/>
      </c>
      <c r="O103" s="17"/>
    </row>
    <row r="104" spans="1:15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8"/>
      <c r="L104" s="16"/>
      <c r="M104" s="16"/>
      <c r="N104" s="19" t="str">
        <f>IF(A104="","",IF(K104="",IFERROR(INDEX(Products!$S$3:$S$302,MATCH(A104,Products!$A$3:$A$302,0)),"Product not found"),K104-IF(L104="Percentage",ROUND(K104*N(M104)/100,2),IF(L104="Fixed amount",N(M104),0))))</f>
        <v/>
      </c>
      <c r="O104" s="17"/>
    </row>
    <row r="105" spans="1:15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8"/>
      <c r="L105" s="16"/>
      <c r="M105" s="16"/>
      <c r="N105" s="19" t="str">
        <f>IF(A105="","",IF(K105="",IFERROR(INDEX(Products!$S$3:$S$302,MATCH(A105,Products!$A$3:$A$302,0)),"Product not found"),K105-IF(L105="Percentage",ROUND(K105*N(M105)/100,2),IF(L105="Fixed amount",N(M105),0))))</f>
        <v/>
      </c>
      <c r="O105" s="17"/>
    </row>
    <row r="106" spans="1:15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8"/>
      <c r="L106" s="16"/>
      <c r="M106" s="16"/>
      <c r="N106" s="19" t="str">
        <f>IF(A106="","",IF(K106="",IFERROR(INDEX(Products!$S$3:$S$302,MATCH(A106,Products!$A$3:$A$302,0)),"Product not found"),K106-IF(L106="Percentage",ROUND(K106*N(M106)/100,2),IF(L106="Fixed amount",N(M106),0))))</f>
        <v/>
      </c>
      <c r="O106" s="17"/>
    </row>
    <row r="107" spans="1:15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8"/>
      <c r="L107" s="16"/>
      <c r="M107" s="16"/>
      <c r="N107" s="19" t="str">
        <f>IF(A107="","",IF(K107="",IFERROR(INDEX(Products!$S$3:$S$302,MATCH(A107,Products!$A$3:$A$302,0)),"Product not found"),K107-IF(L107="Percentage",ROUND(K107*N(M107)/100,2),IF(L107="Fixed amount",N(M107),0))))</f>
        <v/>
      </c>
      <c r="O107" s="17"/>
    </row>
    <row r="108" spans="1:15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8"/>
      <c r="L108" s="16"/>
      <c r="M108" s="16"/>
      <c r="N108" s="19" t="str">
        <f>IF(A108="","",IF(K108="",IFERROR(INDEX(Products!$S$3:$S$302,MATCH(A108,Products!$A$3:$A$302,0)),"Product not found"),K108-IF(L108="Percentage",ROUND(K108*N(M108)/100,2),IF(L108="Fixed amount",N(M108),0))))</f>
        <v/>
      </c>
      <c r="O108" s="17"/>
    </row>
    <row r="109" spans="1:15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8"/>
      <c r="L109" s="16"/>
      <c r="M109" s="16"/>
      <c r="N109" s="19" t="str">
        <f>IF(A109="","",IF(K109="",IFERROR(INDEX(Products!$S$3:$S$302,MATCH(A109,Products!$A$3:$A$302,0)),"Product not found"),K109-IF(L109="Percentage",ROUND(K109*N(M109)/100,2),IF(L109="Fixed amount",N(M109),0))))</f>
        <v/>
      </c>
      <c r="O109" s="17"/>
    </row>
    <row r="110" spans="1:1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8"/>
      <c r="L110" s="16"/>
      <c r="M110" s="16"/>
      <c r="N110" s="19" t="str">
        <f>IF(A110="","",IF(K110="",IFERROR(INDEX(Products!$S$3:$S$302,MATCH(A110,Products!$A$3:$A$302,0)),"Product not found"),K110-IF(L110="Percentage",ROUND(K110*N(M110)/100,2),IF(L110="Fixed amount",N(M110),0))))</f>
        <v/>
      </c>
      <c r="O110" s="17"/>
    </row>
    <row r="111" spans="1:15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8"/>
      <c r="L111" s="16"/>
      <c r="M111" s="16"/>
      <c r="N111" s="19" t="str">
        <f>IF(A111="","",IF(K111="",IFERROR(INDEX(Products!$S$3:$S$302,MATCH(A111,Products!$A$3:$A$302,0)),"Product not found"),K111-IF(L111="Percentage",ROUND(K111*N(M111)/100,2),IF(L111="Fixed amount",N(M111),0))))</f>
        <v/>
      </c>
      <c r="O111" s="17"/>
    </row>
    <row r="112" spans="1:15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8"/>
      <c r="L112" s="16"/>
      <c r="M112" s="16"/>
      <c r="N112" s="19" t="str">
        <f>IF(A112="","",IF(K112="",IFERROR(INDEX(Products!$S$3:$S$302,MATCH(A112,Products!$A$3:$A$302,0)),"Product not found"),K112-IF(L112="Percentage",ROUND(K112*N(M112)/100,2),IF(L112="Fixed amount",N(M112),0))))</f>
        <v/>
      </c>
      <c r="O112" s="17"/>
    </row>
    <row r="113" spans="1:15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8"/>
      <c r="L113" s="16"/>
      <c r="M113" s="16"/>
      <c r="N113" s="19" t="str">
        <f>IF(A113="","",IF(K113="",IFERROR(INDEX(Products!$S$3:$S$302,MATCH(A113,Products!$A$3:$A$302,0)),"Product not found"),K113-IF(L113="Percentage",ROUND(K113*N(M113)/100,2),IF(L113="Fixed amount",N(M113),0))))</f>
        <v/>
      </c>
      <c r="O113" s="17"/>
    </row>
    <row r="114" spans="1:15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8"/>
      <c r="L114" s="16"/>
      <c r="M114" s="16"/>
      <c r="N114" s="19" t="str">
        <f>IF(A114="","",IF(K114="",IFERROR(INDEX(Products!$S$3:$S$302,MATCH(A114,Products!$A$3:$A$302,0)),"Product not found"),K114-IF(L114="Percentage",ROUND(K114*N(M114)/100,2),IF(L114="Fixed amount",N(M114),0))))</f>
        <v/>
      </c>
      <c r="O114" s="17"/>
    </row>
    <row r="115" spans="1:15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8"/>
      <c r="L115" s="16"/>
      <c r="M115" s="16"/>
      <c r="N115" s="19" t="str">
        <f>IF(A115="","",IF(K115="",IFERROR(INDEX(Products!$S$3:$S$302,MATCH(A115,Products!$A$3:$A$302,0)),"Product not found"),K115-IF(L115="Percentage",ROUND(K115*N(M115)/100,2),IF(L115="Fixed amount",N(M115),0))))</f>
        <v/>
      </c>
      <c r="O115" s="17"/>
    </row>
    <row r="116" spans="1:15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8"/>
      <c r="L116" s="16"/>
      <c r="M116" s="16"/>
      <c r="N116" s="19" t="str">
        <f>IF(A116="","",IF(K116="",IFERROR(INDEX(Products!$S$3:$S$302,MATCH(A116,Products!$A$3:$A$302,0)),"Product not found"),K116-IF(L116="Percentage",ROUND(K116*N(M116)/100,2),IF(L116="Fixed amount",N(M116),0))))</f>
        <v/>
      </c>
      <c r="O116" s="17"/>
    </row>
    <row r="117" spans="1:15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8"/>
      <c r="L117" s="16"/>
      <c r="M117" s="16"/>
      <c r="N117" s="19" t="str">
        <f>IF(A117="","",IF(K117="",IFERROR(INDEX(Products!$S$3:$S$302,MATCH(A117,Products!$A$3:$A$302,0)),"Product not found"),K117-IF(L117="Percentage",ROUND(K117*N(M117)/100,2),IF(L117="Fixed amount",N(M117),0))))</f>
        <v/>
      </c>
      <c r="O117" s="17"/>
    </row>
    <row r="118" spans="1:15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8"/>
      <c r="L118" s="16"/>
      <c r="M118" s="16"/>
      <c r="N118" s="19" t="str">
        <f>IF(A118="","",IF(K118="",IFERROR(INDEX(Products!$S$3:$S$302,MATCH(A118,Products!$A$3:$A$302,0)),"Product not found"),K118-IF(L118="Percentage",ROUND(K118*N(M118)/100,2),IF(L118="Fixed amount",N(M118),0))))</f>
        <v/>
      </c>
      <c r="O118" s="17"/>
    </row>
    <row r="119" spans="1:15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8"/>
      <c r="L119" s="16"/>
      <c r="M119" s="16"/>
      <c r="N119" s="19" t="str">
        <f>IF(A119="","",IF(K119="",IFERROR(INDEX(Products!$S$3:$S$302,MATCH(A119,Products!$A$3:$A$302,0)),"Product not found"),K119-IF(L119="Percentage",ROUND(K119*N(M119)/100,2),IF(L119="Fixed amount",N(M119),0))))</f>
        <v/>
      </c>
      <c r="O119" s="17"/>
    </row>
    <row r="120" spans="1:15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8"/>
      <c r="L120" s="16"/>
      <c r="M120" s="16"/>
      <c r="N120" s="19" t="str">
        <f>IF(A120="","",IF(K120="",IFERROR(INDEX(Products!$S$3:$S$302,MATCH(A120,Products!$A$3:$A$302,0)),"Product not found"),K120-IF(L120="Percentage",ROUND(K120*N(M120)/100,2),IF(L120="Fixed amount",N(M120),0))))</f>
        <v/>
      </c>
      <c r="O120" s="17"/>
    </row>
    <row r="121" spans="1:15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8"/>
      <c r="L121" s="16"/>
      <c r="M121" s="16"/>
      <c r="N121" s="19" t="str">
        <f>IF(A121="","",IF(K121="",IFERROR(INDEX(Products!$S$3:$S$302,MATCH(A121,Products!$A$3:$A$302,0)),"Product not found"),K121-IF(L121="Percentage",ROUND(K121*N(M121)/100,2),IF(L121="Fixed amount",N(M121),0))))</f>
        <v/>
      </c>
      <c r="O121" s="17"/>
    </row>
    <row r="122" spans="1:15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8"/>
      <c r="L122" s="16"/>
      <c r="M122" s="16"/>
      <c r="N122" s="19" t="str">
        <f>IF(A122="","",IF(K122="",IFERROR(INDEX(Products!$S$3:$S$302,MATCH(A122,Products!$A$3:$A$302,0)),"Product not found"),K122-IF(L122="Percentage",ROUND(K122*N(M122)/100,2),IF(L122="Fixed amount",N(M122),0))))</f>
        <v/>
      </c>
      <c r="O122" s="17"/>
    </row>
    <row r="123" spans="1:15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8"/>
      <c r="L123" s="16"/>
      <c r="M123" s="16"/>
      <c r="N123" s="19" t="str">
        <f>IF(A123="","",IF(K123="",IFERROR(INDEX(Products!$S$3:$S$302,MATCH(A123,Products!$A$3:$A$302,0)),"Product not found"),K123-IF(L123="Percentage",ROUND(K123*N(M123)/100,2),IF(L123="Fixed amount",N(M123),0))))</f>
        <v/>
      </c>
      <c r="O123" s="17"/>
    </row>
    <row r="124" spans="1:15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8"/>
      <c r="L124" s="16"/>
      <c r="M124" s="16"/>
      <c r="N124" s="19" t="str">
        <f>IF(A124="","",IF(K124="",IFERROR(INDEX(Products!$S$3:$S$302,MATCH(A124,Products!$A$3:$A$302,0)),"Product not found"),K124-IF(L124="Percentage",ROUND(K124*N(M124)/100,2),IF(L124="Fixed amount",N(M124),0))))</f>
        <v/>
      </c>
      <c r="O124" s="17"/>
    </row>
    <row r="125" spans="1:15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8"/>
      <c r="L125" s="16"/>
      <c r="M125" s="16"/>
      <c r="N125" s="19" t="str">
        <f>IF(A125="","",IF(K125="",IFERROR(INDEX(Products!$S$3:$S$302,MATCH(A125,Products!$A$3:$A$302,0)),"Product not found"),K125-IF(L125="Percentage",ROUND(K125*N(M125)/100,2),IF(L125="Fixed amount",N(M125),0))))</f>
        <v/>
      </c>
      <c r="O125" s="17"/>
    </row>
    <row r="126" spans="1:15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8"/>
      <c r="L126" s="16"/>
      <c r="M126" s="16"/>
      <c r="N126" s="19" t="str">
        <f>IF(A126="","",IF(K126="",IFERROR(INDEX(Products!$S$3:$S$302,MATCH(A126,Products!$A$3:$A$302,0)),"Product not found"),K126-IF(L126="Percentage",ROUND(K126*N(M126)/100,2),IF(L126="Fixed amount",N(M126),0))))</f>
        <v/>
      </c>
      <c r="O126" s="17"/>
    </row>
    <row r="127" spans="1:15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8"/>
      <c r="L127" s="16"/>
      <c r="M127" s="16"/>
      <c r="N127" s="19" t="str">
        <f>IF(A127="","",IF(K127="",IFERROR(INDEX(Products!$S$3:$S$302,MATCH(A127,Products!$A$3:$A$302,0)),"Product not found"),K127-IF(L127="Percentage",ROUND(K127*N(M127)/100,2),IF(L127="Fixed amount",N(M127),0))))</f>
        <v/>
      </c>
      <c r="O127" s="17"/>
    </row>
    <row r="128" spans="1:15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8"/>
      <c r="L128" s="16"/>
      <c r="M128" s="16"/>
      <c r="N128" s="19" t="str">
        <f>IF(A128="","",IF(K128="",IFERROR(INDEX(Products!$S$3:$S$302,MATCH(A128,Products!$A$3:$A$302,0)),"Product not found"),K128-IF(L128="Percentage",ROUND(K128*N(M128)/100,2),IF(L128="Fixed amount",N(M128),0))))</f>
        <v/>
      </c>
      <c r="O128" s="17"/>
    </row>
    <row r="129" spans="1:15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8"/>
      <c r="L129" s="16"/>
      <c r="M129" s="16"/>
      <c r="N129" s="19" t="str">
        <f>IF(A129="","",IF(K129="",IFERROR(INDEX(Products!$S$3:$S$302,MATCH(A129,Products!$A$3:$A$302,0)),"Product not found"),K129-IF(L129="Percentage",ROUND(K129*N(M129)/100,2),IF(L129="Fixed amount",N(M129),0))))</f>
        <v/>
      </c>
      <c r="O129" s="17"/>
    </row>
    <row r="130" spans="1:15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8"/>
      <c r="L130" s="16"/>
      <c r="M130" s="16"/>
      <c r="N130" s="19" t="str">
        <f>IF(A130="","",IF(K130="",IFERROR(INDEX(Products!$S$3:$S$302,MATCH(A130,Products!$A$3:$A$302,0)),"Product not found"),K130-IF(L130="Percentage",ROUND(K130*N(M130)/100,2),IF(L130="Fixed amount",N(M130),0))))</f>
        <v/>
      </c>
      <c r="O130" s="17"/>
    </row>
    <row r="131" spans="1:15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8"/>
      <c r="L131" s="16"/>
      <c r="M131" s="16"/>
      <c r="N131" s="19" t="str">
        <f>IF(A131="","",IF(K131="",IFERROR(INDEX(Products!$S$3:$S$302,MATCH(A131,Products!$A$3:$A$302,0)),"Product not found"),K131-IF(L131="Percentage",ROUND(K131*N(M131)/100,2),IF(L131="Fixed amount",N(M131),0))))</f>
        <v/>
      </c>
      <c r="O131" s="17"/>
    </row>
    <row r="132" spans="1:15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8"/>
      <c r="L132" s="16"/>
      <c r="M132" s="16"/>
      <c r="N132" s="19" t="str">
        <f>IF(A132="","",IF(K132="",IFERROR(INDEX(Products!$S$3:$S$302,MATCH(A132,Products!$A$3:$A$302,0)),"Product not found"),K132-IF(L132="Percentage",ROUND(K132*N(M132)/100,2),IF(L132="Fixed amount",N(M132),0))))</f>
        <v/>
      </c>
      <c r="O132" s="17"/>
    </row>
    <row r="133" spans="1:15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8"/>
      <c r="L133" s="16"/>
      <c r="M133" s="16"/>
      <c r="N133" s="19" t="str">
        <f>IF(A133="","",IF(K133="",IFERROR(INDEX(Products!$S$3:$S$302,MATCH(A133,Products!$A$3:$A$302,0)),"Product not found"),K133-IF(L133="Percentage",ROUND(K133*N(M133)/100,2),IF(L133="Fixed amount",N(M133),0))))</f>
        <v/>
      </c>
      <c r="O133" s="17"/>
    </row>
    <row r="134" spans="1:15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8"/>
      <c r="L134" s="16"/>
      <c r="M134" s="16"/>
      <c r="N134" s="19" t="str">
        <f>IF(A134="","",IF(K134="",IFERROR(INDEX(Products!$S$3:$S$302,MATCH(A134,Products!$A$3:$A$302,0)),"Product not found"),K134-IF(L134="Percentage",ROUND(K134*N(M134)/100,2),IF(L134="Fixed amount",N(M134),0))))</f>
        <v/>
      </c>
      <c r="O134" s="17"/>
    </row>
    <row r="135" spans="1:15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8"/>
      <c r="L135" s="16"/>
      <c r="M135" s="16"/>
      <c r="N135" s="19" t="str">
        <f>IF(A135="","",IF(K135="",IFERROR(INDEX(Products!$S$3:$S$302,MATCH(A135,Products!$A$3:$A$302,0)),"Product not found"),K135-IF(L135="Percentage",ROUND(K135*N(M135)/100,2),IF(L135="Fixed amount",N(M135),0))))</f>
        <v/>
      </c>
      <c r="O135" s="17"/>
    </row>
    <row r="136" spans="1:15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8"/>
      <c r="L136" s="16"/>
      <c r="M136" s="16"/>
      <c r="N136" s="19" t="str">
        <f>IF(A136="","",IF(K136="",IFERROR(INDEX(Products!$S$3:$S$302,MATCH(A136,Products!$A$3:$A$302,0)),"Product not found"),K136-IF(L136="Percentage",ROUND(K136*N(M136)/100,2),IF(L136="Fixed amount",N(M136),0))))</f>
        <v/>
      </c>
      <c r="O136" s="17"/>
    </row>
    <row r="137" spans="1:15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8"/>
      <c r="L137" s="16"/>
      <c r="M137" s="16"/>
      <c r="N137" s="19" t="str">
        <f>IF(A137="","",IF(K137="",IFERROR(INDEX(Products!$S$3:$S$302,MATCH(A137,Products!$A$3:$A$302,0)),"Product not found"),K137-IF(L137="Percentage",ROUND(K137*N(M137)/100,2),IF(L137="Fixed amount",N(M137),0))))</f>
        <v/>
      </c>
      <c r="O137" s="17"/>
    </row>
    <row r="138" spans="1:15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8"/>
      <c r="L138" s="16"/>
      <c r="M138" s="16"/>
      <c r="N138" s="19" t="str">
        <f>IF(A138="","",IF(K138="",IFERROR(INDEX(Products!$S$3:$S$302,MATCH(A138,Products!$A$3:$A$302,0)),"Product not found"),K138-IF(L138="Percentage",ROUND(K138*N(M138)/100,2),IF(L138="Fixed amount",N(M138),0))))</f>
        <v/>
      </c>
      <c r="O138" s="17"/>
    </row>
    <row r="139" spans="1:15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8"/>
      <c r="L139" s="16"/>
      <c r="M139" s="16"/>
      <c r="N139" s="19" t="str">
        <f>IF(A139="","",IF(K139="",IFERROR(INDEX(Products!$S$3:$S$302,MATCH(A139,Products!$A$3:$A$302,0)),"Product not found"),K139-IF(L139="Percentage",ROUND(K139*N(M139)/100,2),IF(L139="Fixed amount",N(M139),0))))</f>
        <v/>
      </c>
      <c r="O139" s="17"/>
    </row>
    <row r="140" spans="1:15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8"/>
      <c r="L140" s="16"/>
      <c r="M140" s="16"/>
      <c r="N140" s="19" t="str">
        <f>IF(A140="","",IF(K140="",IFERROR(INDEX(Products!$S$3:$S$302,MATCH(A140,Products!$A$3:$A$302,0)),"Product not found"),K140-IF(L140="Percentage",ROUND(K140*N(M140)/100,2),IF(L140="Fixed amount",N(M140),0))))</f>
        <v/>
      </c>
      <c r="O140" s="17"/>
    </row>
    <row r="141" spans="1:15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8"/>
      <c r="L141" s="16"/>
      <c r="M141" s="16"/>
      <c r="N141" s="19" t="str">
        <f>IF(A141="","",IF(K141="",IFERROR(INDEX(Products!$S$3:$S$302,MATCH(A141,Products!$A$3:$A$302,0)),"Product not found"),K141-IF(L141="Percentage",ROUND(K141*N(M141)/100,2),IF(L141="Fixed amount",N(M141),0))))</f>
        <v/>
      </c>
      <c r="O141" s="17"/>
    </row>
    <row r="142" spans="1:15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8"/>
      <c r="L142" s="16"/>
      <c r="M142" s="16"/>
      <c r="N142" s="19" t="str">
        <f>IF(A142="","",IF(K142="",IFERROR(INDEX(Products!$S$3:$S$302,MATCH(A142,Products!$A$3:$A$302,0)),"Product not found"),K142-IF(L142="Percentage",ROUND(K142*N(M142)/100,2),IF(L142="Fixed amount",N(M142),0))))</f>
        <v/>
      </c>
      <c r="O142" s="17"/>
    </row>
    <row r="143" spans="1:15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8"/>
      <c r="L143" s="16"/>
      <c r="M143" s="16"/>
      <c r="N143" s="19" t="str">
        <f>IF(A143="","",IF(K143="",IFERROR(INDEX(Products!$S$3:$S$302,MATCH(A143,Products!$A$3:$A$302,0)),"Product not found"),K143-IF(L143="Percentage",ROUND(K143*N(M143)/100,2),IF(L143="Fixed amount",N(M143),0))))</f>
        <v/>
      </c>
      <c r="O143" s="17"/>
    </row>
    <row r="144" spans="1:15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8"/>
      <c r="L144" s="16"/>
      <c r="M144" s="16"/>
      <c r="N144" s="19" t="str">
        <f>IF(A144="","",IF(K144="",IFERROR(INDEX(Products!$S$3:$S$302,MATCH(A144,Products!$A$3:$A$302,0)),"Product not found"),K144-IF(L144="Percentage",ROUND(K144*N(M144)/100,2),IF(L144="Fixed amount",N(M144),0))))</f>
        <v/>
      </c>
      <c r="O144" s="17"/>
    </row>
    <row r="145" spans="1:15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8"/>
      <c r="L145" s="16"/>
      <c r="M145" s="16"/>
      <c r="N145" s="19" t="str">
        <f>IF(A145="","",IF(K145="",IFERROR(INDEX(Products!$S$3:$S$302,MATCH(A145,Products!$A$3:$A$302,0)),"Product not found"),K145-IF(L145="Percentage",ROUND(K145*N(M145)/100,2),IF(L145="Fixed amount",N(M145),0))))</f>
        <v/>
      </c>
      <c r="O145" s="17"/>
    </row>
    <row r="146" spans="1:15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8"/>
      <c r="L146" s="16"/>
      <c r="M146" s="16"/>
      <c r="N146" s="19" t="str">
        <f>IF(A146="","",IF(K146="",IFERROR(INDEX(Products!$S$3:$S$302,MATCH(A146,Products!$A$3:$A$302,0)),"Product not found"),K146-IF(L146="Percentage",ROUND(K146*N(M146)/100,2),IF(L146="Fixed amount",N(M146),0))))</f>
        <v/>
      </c>
      <c r="O146" s="17"/>
    </row>
    <row r="147" spans="1:15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8"/>
      <c r="L147" s="16"/>
      <c r="M147" s="16"/>
      <c r="N147" s="19" t="str">
        <f>IF(A147="","",IF(K147="",IFERROR(INDEX(Products!$S$3:$S$302,MATCH(A147,Products!$A$3:$A$302,0)),"Product not found"),K147-IF(L147="Percentage",ROUND(K147*N(M147)/100,2),IF(L147="Fixed amount",N(M147),0))))</f>
        <v/>
      </c>
      <c r="O147" s="17"/>
    </row>
    <row r="148" spans="1:15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8"/>
      <c r="L148" s="16"/>
      <c r="M148" s="16"/>
      <c r="N148" s="19" t="str">
        <f>IF(A148="","",IF(K148="",IFERROR(INDEX(Products!$S$3:$S$302,MATCH(A148,Products!$A$3:$A$302,0)),"Product not found"),K148-IF(L148="Percentage",ROUND(K148*N(M148)/100,2),IF(L148="Fixed amount",N(M148),0))))</f>
        <v/>
      </c>
      <c r="O148" s="17"/>
    </row>
    <row r="149" spans="1:15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8"/>
      <c r="L149" s="16"/>
      <c r="M149" s="16"/>
      <c r="N149" s="19" t="str">
        <f>IF(A149="","",IF(K149="",IFERROR(INDEX(Products!$S$3:$S$302,MATCH(A149,Products!$A$3:$A$302,0)),"Product not found"),K149-IF(L149="Percentage",ROUND(K149*N(M149)/100,2),IF(L149="Fixed amount",N(M149),0))))</f>
        <v/>
      </c>
      <c r="O149" s="17"/>
    </row>
    <row r="150" spans="1:15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8"/>
      <c r="L150" s="16"/>
      <c r="M150" s="16"/>
      <c r="N150" s="19" t="str">
        <f>IF(A150="","",IF(K150="",IFERROR(INDEX(Products!$S$3:$S$302,MATCH(A150,Products!$A$3:$A$302,0)),"Product not found"),K150-IF(L150="Percentage",ROUND(K150*N(M150)/100,2),IF(L150="Fixed amount",N(M150),0))))</f>
        <v/>
      </c>
      <c r="O150" s="17"/>
    </row>
    <row r="151" spans="1:15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8"/>
      <c r="L151" s="16"/>
      <c r="M151" s="16"/>
      <c r="N151" s="19" t="str">
        <f>IF(A151="","",IF(K151="",IFERROR(INDEX(Products!$S$3:$S$302,MATCH(A151,Products!$A$3:$A$302,0)),"Product not found"),K151-IF(L151="Percentage",ROUND(K151*N(M151)/100,2),IF(L151="Fixed amount",N(M151),0))))</f>
        <v/>
      </c>
      <c r="O151" s="17"/>
    </row>
    <row r="152" spans="1:15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8"/>
      <c r="L152" s="16"/>
      <c r="M152" s="16"/>
      <c r="N152" s="19" t="str">
        <f>IF(A152="","",IF(K152="",IFERROR(INDEX(Products!$S$3:$S$302,MATCH(A152,Products!$A$3:$A$302,0)),"Product not found"),K152-IF(L152="Percentage",ROUND(K152*N(M152)/100,2),IF(L152="Fixed amount",N(M152),0))))</f>
        <v/>
      </c>
      <c r="O152" s="17"/>
    </row>
    <row r="153" spans="1:15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8"/>
      <c r="L153" s="16"/>
      <c r="M153" s="16"/>
      <c r="N153" s="19" t="str">
        <f>IF(A153="","",IF(K153="",IFERROR(INDEX(Products!$S$3:$S$302,MATCH(A153,Products!$A$3:$A$302,0)),"Product not found"),K153-IF(L153="Percentage",ROUND(K153*N(M153)/100,2),IF(L153="Fixed amount",N(M153),0))))</f>
        <v/>
      </c>
      <c r="O153" s="17"/>
    </row>
    <row r="154" spans="1:15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8"/>
      <c r="L154" s="16"/>
      <c r="M154" s="16"/>
      <c r="N154" s="19" t="str">
        <f>IF(A154="","",IF(K154="",IFERROR(INDEX(Products!$S$3:$S$302,MATCH(A154,Products!$A$3:$A$302,0)),"Product not found"),K154-IF(L154="Percentage",ROUND(K154*N(M154)/100,2),IF(L154="Fixed amount",N(M154),0))))</f>
        <v/>
      </c>
      <c r="O154" s="17"/>
    </row>
    <row r="155" spans="1:15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8"/>
      <c r="L155" s="16"/>
      <c r="M155" s="16"/>
      <c r="N155" s="19" t="str">
        <f>IF(A155="","",IF(K155="",IFERROR(INDEX(Products!$S$3:$S$302,MATCH(A155,Products!$A$3:$A$302,0)),"Product not found"),K155-IF(L155="Percentage",ROUND(K155*N(M155)/100,2),IF(L155="Fixed amount",N(M155),0))))</f>
        <v/>
      </c>
      <c r="O155" s="17"/>
    </row>
    <row r="156" spans="1:15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8"/>
      <c r="L156" s="16"/>
      <c r="M156" s="16"/>
      <c r="N156" s="19" t="str">
        <f>IF(A156="","",IF(K156="",IFERROR(INDEX(Products!$S$3:$S$302,MATCH(A156,Products!$A$3:$A$302,0)),"Product not found"),K156-IF(L156="Percentage",ROUND(K156*N(M156)/100,2),IF(L156="Fixed amount",N(M156),0))))</f>
        <v/>
      </c>
      <c r="O156" s="17"/>
    </row>
    <row r="157" spans="1:15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8"/>
      <c r="L157" s="16"/>
      <c r="M157" s="16"/>
      <c r="N157" s="19" t="str">
        <f>IF(A157="","",IF(K157="",IFERROR(INDEX(Products!$S$3:$S$302,MATCH(A157,Products!$A$3:$A$302,0)),"Product not found"),K157-IF(L157="Percentage",ROUND(K157*N(M157)/100,2),IF(L157="Fixed amount",N(M157),0))))</f>
        <v/>
      </c>
      <c r="O157" s="17"/>
    </row>
    <row r="158" spans="1:15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8"/>
      <c r="L158" s="16"/>
      <c r="M158" s="16"/>
      <c r="N158" s="19" t="str">
        <f>IF(A158="","",IF(K158="",IFERROR(INDEX(Products!$S$3:$S$302,MATCH(A158,Products!$A$3:$A$302,0)),"Product not found"),K158-IF(L158="Percentage",ROUND(K158*N(M158)/100,2),IF(L158="Fixed amount",N(M158),0))))</f>
        <v/>
      </c>
      <c r="O158" s="17"/>
    </row>
    <row r="159" spans="1:15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8"/>
      <c r="L159" s="16"/>
      <c r="M159" s="16"/>
      <c r="N159" s="19" t="str">
        <f>IF(A159="","",IF(K159="",IFERROR(INDEX(Products!$S$3:$S$302,MATCH(A159,Products!$A$3:$A$302,0)),"Product not found"),K159-IF(L159="Percentage",ROUND(K159*N(M159)/100,2),IF(L159="Fixed amount",N(M159),0))))</f>
        <v/>
      </c>
      <c r="O159" s="17"/>
    </row>
    <row r="160" spans="1:15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8"/>
      <c r="L160" s="16"/>
      <c r="M160" s="16"/>
      <c r="N160" s="19" t="str">
        <f>IF(A160="","",IF(K160="",IFERROR(INDEX(Products!$S$3:$S$302,MATCH(A160,Products!$A$3:$A$302,0)),"Product not found"),K160-IF(L160="Percentage",ROUND(K160*N(M160)/100,2),IF(L160="Fixed amount",N(M160),0))))</f>
        <v/>
      </c>
      <c r="O160" s="17"/>
    </row>
    <row r="161" spans="1:15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8"/>
      <c r="L161" s="16"/>
      <c r="M161" s="16"/>
      <c r="N161" s="19" t="str">
        <f>IF(A161="","",IF(K161="",IFERROR(INDEX(Products!$S$3:$S$302,MATCH(A161,Products!$A$3:$A$302,0)),"Product not found"),K161-IF(L161="Percentage",ROUND(K161*N(M161)/100,2),IF(L161="Fixed amount",N(M161),0))))</f>
        <v/>
      </c>
      <c r="O161" s="17"/>
    </row>
    <row r="162" spans="1:15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8"/>
      <c r="L162" s="16"/>
      <c r="M162" s="16"/>
      <c r="N162" s="19" t="str">
        <f>IF(A162="","",IF(K162="",IFERROR(INDEX(Products!$S$3:$S$302,MATCH(A162,Products!$A$3:$A$302,0)),"Product not found"),K162-IF(L162="Percentage",ROUND(K162*N(M162)/100,2),IF(L162="Fixed amount",N(M162),0))))</f>
        <v/>
      </c>
      <c r="O162" s="17"/>
    </row>
    <row r="163" spans="1:15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8"/>
      <c r="L163" s="16"/>
      <c r="M163" s="16"/>
      <c r="N163" s="19" t="str">
        <f>IF(A163="","",IF(K163="",IFERROR(INDEX(Products!$S$3:$S$302,MATCH(A163,Products!$A$3:$A$302,0)),"Product not found"),K163-IF(L163="Percentage",ROUND(K163*N(M163)/100,2),IF(L163="Fixed amount",N(M163),0))))</f>
        <v/>
      </c>
      <c r="O163" s="17"/>
    </row>
    <row r="164" spans="1:15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8"/>
      <c r="L164" s="16"/>
      <c r="M164" s="16"/>
      <c r="N164" s="19" t="str">
        <f>IF(A164="","",IF(K164="",IFERROR(INDEX(Products!$S$3:$S$302,MATCH(A164,Products!$A$3:$A$302,0)),"Product not found"),K164-IF(L164="Percentage",ROUND(K164*N(M164)/100,2),IF(L164="Fixed amount",N(M164),0))))</f>
        <v/>
      </c>
      <c r="O164" s="17"/>
    </row>
    <row r="165" spans="1:15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8"/>
      <c r="L165" s="16"/>
      <c r="M165" s="16"/>
      <c r="N165" s="19" t="str">
        <f>IF(A165="","",IF(K165="",IFERROR(INDEX(Products!$S$3:$S$302,MATCH(A165,Products!$A$3:$A$302,0)),"Product not found"),K165-IF(L165="Percentage",ROUND(K165*N(M165)/100,2),IF(L165="Fixed amount",N(M165),0))))</f>
        <v/>
      </c>
      <c r="O165" s="17"/>
    </row>
    <row r="166" spans="1:15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8"/>
      <c r="L166" s="16"/>
      <c r="M166" s="16"/>
      <c r="N166" s="19" t="str">
        <f>IF(A166="","",IF(K166="",IFERROR(INDEX(Products!$S$3:$S$302,MATCH(A166,Products!$A$3:$A$302,0)),"Product not found"),K166-IF(L166="Percentage",ROUND(K166*N(M166)/100,2),IF(L166="Fixed amount",N(M166),0))))</f>
        <v/>
      </c>
      <c r="O166" s="17"/>
    </row>
    <row r="167" spans="1:15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8"/>
      <c r="L167" s="16"/>
      <c r="M167" s="16"/>
      <c r="N167" s="19" t="str">
        <f>IF(A167="","",IF(K167="",IFERROR(INDEX(Products!$S$3:$S$302,MATCH(A167,Products!$A$3:$A$302,0)),"Product not found"),K167-IF(L167="Percentage",ROUND(K167*N(M167)/100,2),IF(L167="Fixed amount",N(M167),0))))</f>
        <v/>
      </c>
      <c r="O167" s="17"/>
    </row>
    <row r="168" spans="1:15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8"/>
      <c r="L168" s="16"/>
      <c r="M168" s="16"/>
      <c r="N168" s="19" t="str">
        <f>IF(A168="","",IF(K168="",IFERROR(INDEX(Products!$S$3:$S$302,MATCH(A168,Products!$A$3:$A$302,0)),"Product not found"),K168-IF(L168="Percentage",ROUND(K168*N(M168)/100,2),IF(L168="Fixed amount",N(M168),0))))</f>
        <v/>
      </c>
      <c r="O168" s="17"/>
    </row>
    <row r="169" spans="1:15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8"/>
      <c r="L169" s="16"/>
      <c r="M169" s="16"/>
      <c r="N169" s="19" t="str">
        <f>IF(A169="","",IF(K169="",IFERROR(INDEX(Products!$S$3:$S$302,MATCH(A169,Products!$A$3:$A$302,0)),"Product not found"),K169-IF(L169="Percentage",ROUND(K169*N(M169)/100,2),IF(L169="Fixed amount",N(M169),0))))</f>
        <v/>
      </c>
      <c r="O169" s="17"/>
    </row>
    <row r="170" spans="1:15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8"/>
      <c r="L170" s="16"/>
      <c r="M170" s="16"/>
      <c r="N170" s="19" t="str">
        <f>IF(A170="","",IF(K170="",IFERROR(INDEX(Products!$S$3:$S$302,MATCH(A170,Products!$A$3:$A$302,0)),"Product not found"),K170-IF(L170="Percentage",ROUND(K170*N(M170)/100,2),IF(L170="Fixed amount",N(M170),0))))</f>
        <v/>
      </c>
      <c r="O170" s="17"/>
    </row>
    <row r="171" spans="1:15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8"/>
      <c r="L171" s="16"/>
      <c r="M171" s="16"/>
      <c r="N171" s="19" t="str">
        <f>IF(A171="","",IF(K171="",IFERROR(INDEX(Products!$S$3:$S$302,MATCH(A171,Products!$A$3:$A$302,0)),"Product not found"),K171-IF(L171="Percentage",ROUND(K171*N(M171)/100,2),IF(L171="Fixed amount",N(M171),0))))</f>
        <v/>
      </c>
      <c r="O171" s="17"/>
    </row>
    <row r="172" spans="1:15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8"/>
      <c r="L172" s="16"/>
      <c r="M172" s="16"/>
      <c r="N172" s="19" t="str">
        <f>IF(A172="","",IF(K172="",IFERROR(INDEX(Products!$S$3:$S$302,MATCH(A172,Products!$A$3:$A$302,0)),"Product not found"),K172-IF(L172="Percentage",ROUND(K172*N(M172)/100,2),IF(L172="Fixed amount",N(M172),0))))</f>
        <v/>
      </c>
      <c r="O172" s="17"/>
    </row>
    <row r="173" spans="1:15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8"/>
      <c r="L173" s="16"/>
      <c r="M173" s="16"/>
      <c r="N173" s="19" t="str">
        <f>IF(A173="","",IF(K173="",IFERROR(INDEX(Products!$S$3:$S$302,MATCH(A173,Products!$A$3:$A$302,0)),"Product not found"),K173-IF(L173="Percentage",ROUND(K173*N(M173)/100,2),IF(L173="Fixed amount",N(M173),0))))</f>
        <v/>
      </c>
      <c r="O173" s="17"/>
    </row>
    <row r="174" spans="1:15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8"/>
      <c r="L174" s="16"/>
      <c r="M174" s="16"/>
      <c r="N174" s="19" t="str">
        <f>IF(A174="","",IF(K174="",IFERROR(INDEX(Products!$S$3:$S$302,MATCH(A174,Products!$A$3:$A$302,0)),"Product not found"),K174-IF(L174="Percentage",ROUND(K174*N(M174)/100,2),IF(L174="Fixed amount",N(M174),0))))</f>
        <v/>
      </c>
      <c r="O174" s="17"/>
    </row>
    <row r="175" spans="1:15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8"/>
      <c r="L175" s="16"/>
      <c r="M175" s="16"/>
      <c r="N175" s="19" t="str">
        <f>IF(A175="","",IF(K175="",IFERROR(INDEX(Products!$S$3:$S$302,MATCH(A175,Products!$A$3:$A$302,0)),"Product not found"),K175-IF(L175="Percentage",ROUND(K175*N(M175)/100,2),IF(L175="Fixed amount",N(M175),0))))</f>
        <v/>
      </c>
      <c r="O175" s="17"/>
    </row>
    <row r="176" spans="1:15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8"/>
      <c r="L176" s="16"/>
      <c r="M176" s="16"/>
      <c r="N176" s="19" t="str">
        <f>IF(A176="","",IF(K176="",IFERROR(INDEX(Products!$S$3:$S$302,MATCH(A176,Products!$A$3:$A$302,0)),"Product not found"),K176-IF(L176="Percentage",ROUND(K176*N(M176)/100,2),IF(L176="Fixed amount",N(M176),0))))</f>
        <v/>
      </c>
      <c r="O176" s="17"/>
    </row>
    <row r="177" spans="1:15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8"/>
      <c r="L177" s="16"/>
      <c r="M177" s="16"/>
      <c r="N177" s="19" t="str">
        <f>IF(A177="","",IF(K177="",IFERROR(INDEX(Products!$S$3:$S$302,MATCH(A177,Products!$A$3:$A$302,0)),"Product not found"),K177-IF(L177="Percentage",ROUND(K177*N(M177)/100,2),IF(L177="Fixed amount",N(M177),0))))</f>
        <v/>
      </c>
      <c r="O177" s="17"/>
    </row>
    <row r="178" spans="1:15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8"/>
      <c r="L178" s="16"/>
      <c r="M178" s="16"/>
      <c r="N178" s="19" t="str">
        <f>IF(A178="","",IF(K178="",IFERROR(INDEX(Products!$S$3:$S$302,MATCH(A178,Products!$A$3:$A$302,0)),"Product not found"),K178-IF(L178="Percentage",ROUND(K178*N(M178)/100,2),IF(L178="Fixed amount",N(M178),0))))</f>
        <v/>
      </c>
      <c r="O178" s="17"/>
    </row>
    <row r="179" spans="1:15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8"/>
      <c r="L179" s="16"/>
      <c r="M179" s="16"/>
      <c r="N179" s="19" t="str">
        <f>IF(A179="","",IF(K179="",IFERROR(INDEX(Products!$S$3:$S$302,MATCH(A179,Products!$A$3:$A$302,0)),"Product not found"),K179-IF(L179="Percentage",ROUND(K179*N(M179)/100,2),IF(L179="Fixed amount",N(M179),0))))</f>
        <v/>
      </c>
      <c r="O179" s="17"/>
    </row>
    <row r="180" spans="1:15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8"/>
      <c r="L180" s="16"/>
      <c r="M180" s="16"/>
      <c r="N180" s="19" t="str">
        <f>IF(A180="","",IF(K180="",IFERROR(INDEX(Products!$S$3:$S$302,MATCH(A180,Products!$A$3:$A$302,0)),"Product not found"),K180-IF(L180="Percentage",ROUND(K180*N(M180)/100,2),IF(L180="Fixed amount",N(M180),0))))</f>
        <v/>
      </c>
      <c r="O180" s="17"/>
    </row>
    <row r="181" spans="1:15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8"/>
      <c r="L181" s="16"/>
      <c r="M181" s="16"/>
      <c r="N181" s="19" t="str">
        <f>IF(A181="","",IF(K181="",IFERROR(INDEX(Products!$S$3:$S$302,MATCH(A181,Products!$A$3:$A$302,0)),"Product not found"),K181-IF(L181="Percentage",ROUND(K181*N(M181)/100,2),IF(L181="Fixed amount",N(M181),0))))</f>
        <v/>
      </c>
      <c r="O181" s="17"/>
    </row>
    <row r="182" spans="1:15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8"/>
      <c r="L182" s="16"/>
      <c r="M182" s="16"/>
      <c r="N182" s="19" t="str">
        <f>IF(A182="","",IF(K182="",IFERROR(INDEX(Products!$S$3:$S$302,MATCH(A182,Products!$A$3:$A$302,0)),"Product not found"),K182-IF(L182="Percentage",ROUND(K182*N(M182)/100,2),IF(L182="Fixed amount",N(M182),0))))</f>
        <v/>
      </c>
      <c r="O182" s="17"/>
    </row>
    <row r="183" spans="1:15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8"/>
      <c r="L183" s="16"/>
      <c r="M183" s="16"/>
      <c r="N183" s="19" t="str">
        <f>IF(A183="","",IF(K183="",IFERROR(INDEX(Products!$S$3:$S$302,MATCH(A183,Products!$A$3:$A$302,0)),"Product not found"),K183-IF(L183="Percentage",ROUND(K183*N(M183)/100,2),IF(L183="Fixed amount",N(M183),0))))</f>
        <v/>
      </c>
      <c r="O183" s="17"/>
    </row>
    <row r="184" spans="1:15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8"/>
      <c r="L184" s="16"/>
      <c r="M184" s="16"/>
      <c r="N184" s="19" t="str">
        <f>IF(A184="","",IF(K184="",IFERROR(INDEX(Products!$S$3:$S$302,MATCH(A184,Products!$A$3:$A$302,0)),"Product not found"),K184-IF(L184="Percentage",ROUND(K184*N(M184)/100,2),IF(L184="Fixed amount",N(M184),0))))</f>
        <v/>
      </c>
      <c r="O184" s="17"/>
    </row>
    <row r="185" spans="1:15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8"/>
      <c r="L185" s="16"/>
      <c r="M185" s="16"/>
      <c r="N185" s="19" t="str">
        <f>IF(A185="","",IF(K185="",IFERROR(INDEX(Products!$S$3:$S$302,MATCH(A185,Products!$A$3:$A$302,0)),"Product not found"),K185-IF(L185="Percentage",ROUND(K185*N(M185)/100,2),IF(L185="Fixed amount",N(M185),0))))</f>
        <v/>
      </c>
      <c r="O185" s="17"/>
    </row>
    <row r="186" spans="1:15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8"/>
      <c r="L186" s="16"/>
      <c r="M186" s="16"/>
      <c r="N186" s="19" t="str">
        <f>IF(A186="","",IF(K186="",IFERROR(INDEX(Products!$S$3:$S$302,MATCH(A186,Products!$A$3:$A$302,0)),"Product not found"),K186-IF(L186="Percentage",ROUND(K186*N(M186)/100,2),IF(L186="Fixed amount",N(M186),0))))</f>
        <v/>
      </c>
      <c r="O186" s="17"/>
    </row>
    <row r="187" spans="1:15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8"/>
      <c r="L187" s="16"/>
      <c r="M187" s="16"/>
      <c r="N187" s="19" t="str">
        <f>IF(A187="","",IF(K187="",IFERROR(INDEX(Products!$S$3:$S$302,MATCH(A187,Products!$A$3:$A$302,0)),"Product not found"),K187-IF(L187="Percentage",ROUND(K187*N(M187)/100,2),IF(L187="Fixed amount",N(M187),0))))</f>
        <v/>
      </c>
      <c r="O187" s="17"/>
    </row>
    <row r="188" spans="1:15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8"/>
      <c r="L188" s="16"/>
      <c r="M188" s="16"/>
      <c r="N188" s="19" t="str">
        <f>IF(A188="","",IF(K188="",IFERROR(INDEX(Products!$S$3:$S$302,MATCH(A188,Products!$A$3:$A$302,0)),"Product not found"),K188-IF(L188="Percentage",ROUND(K188*N(M188)/100,2),IF(L188="Fixed amount",N(M188),0))))</f>
        <v/>
      </c>
      <c r="O188" s="17"/>
    </row>
    <row r="189" spans="1:15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8"/>
      <c r="L189" s="16"/>
      <c r="M189" s="16"/>
      <c r="N189" s="19" t="str">
        <f>IF(A189="","",IF(K189="",IFERROR(INDEX(Products!$S$3:$S$302,MATCH(A189,Products!$A$3:$A$302,0)),"Product not found"),K189-IF(L189="Percentage",ROUND(K189*N(M189)/100,2),IF(L189="Fixed amount",N(M189),0))))</f>
        <v/>
      </c>
      <c r="O189" s="17"/>
    </row>
    <row r="190" spans="1:15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8"/>
      <c r="L190" s="16"/>
      <c r="M190" s="16"/>
      <c r="N190" s="19" t="str">
        <f>IF(A190="","",IF(K190="",IFERROR(INDEX(Products!$S$3:$S$302,MATCH(A190,Products!$A$3:$A$302,0)),"Product not found"),K190-IF(L190="Percentage",ROUND(K190*N(M190)/100,2),IF(L190="Fixed amount",N(M190),0))))</f>
        <v/>
      </c>
      <c r="O190" s="17"/>
    </row>
    <row r="191" spans="1:15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8"/>
      <c r="L191" s="16"/>
      <c r="M191" s="16"/>
      <c r="N191" s="19" t="str">
        <f>IF(A191="","",IF(K191="",IFERROR(INDEX(Products!$S$3:$S$302,MATCH(A191,Products!$A$3:$A$302,0)),"Product not found"),K191-IF(L191="Percentage",ROUND(K191*N(M191)/100,2),IF(L191="Fixed amount",N(M191),0))))</f>
        <v/>
      </c>
      <c r="O191" s="17"/>
    </row>
    <row r="192" spans="1:15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8"/>
      <c r="L192" s="16"/>
      <c r="M192" s="16"/>
      <c r="N192" s="19" t="str">
        <f>IF(A192="","",IF(K192="",IFERROR(INDEX(Products!$S$3:$S$302,MATCH(A192,Products!$A$3:$A$302,0)),"Product not found"),K192-IF(L192="Percentage",ROUND(K192*N(M192)/100,2),IF(L192="Fixed amount",N(M192),0))))</f>
        <v/>
      </c>
      <c r="O192" s="17"/>
    </row>
    <row r="193" spans="1:15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8"/>
      <c r="L193" s="16"/>
      <c r="M193" s="16"/>
      <c r="N193" s="19" t="str">
        <f>IF(A193="","",IF(K193="",IFERROR(INDEX(Products!$S$3:$S$302,MATCH(A193,Products!$A$3:$A$302,0)),"Product not found"),K193-IF(L193="Percentage",ROUND(K193*N(M193)/100,2),IF(L193="Fixed amount",N(M193),0))))</f>
        <v/>
      </c>
      <c r="O193" s="17"/>
    </row>
    <row r="194" spans="1:15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8"/>
      <c r="L194" s="16"/>
      <c r="M194" s="16"/>
      <c r="N194" s="19" t="str">
        <f>IF(A194="","",IF(K194="",IFERROR(INDEX(Products!$S$3:$S$302,MATCH(A194,Products!$A$3:$A$302,0)),"Product not found"),K194-IF(L194="Percentage",ROUND(K194*N(M194)/100,2),IF(L194="Fixed amount",N(M194),0))))</f>
        <v/>
      </c>
      <c r="O194" s="17"/>
    </row>
    <row r="195" spans="1:15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8"/>
      <c r="L195" s="16"/>
      <c r="M195" s="16"/>
      <c r="N195" s="19" t="str">
        <f>IF(A195="","",IF(K195="",IFERROR(INDEX(Products!$S$3:$S$302,MATCH(A195,Products!$A$3:$A$302,0)),"Product not found"),K195-IF(L195="Percentage",ROUND(K195*N(M195)/100,2),IF(L195="Fixed amount",N(M195),0))))</f>
        <v/>
      </c>
      <c r="O195" s="17"/>
    </row>
    <row r="196" spans="1:15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8"/>
      <c r="L196" s="16"/>
      <c r="M196" s="16"/>
      <c r="N196" s="19" t="str">
        <f>IF(A196="","",IF(K196="",IFERROR(INDEX(Products!$S$3:$S$302,MATCH(A196,Products!$A$3:$A$302,0)),"Product not found"),K196-IF(L196="Percentage",ROUND(K196*N(M196)/100,2),IF(L196="Fixed amount",N(M196),0))))</f>
        <v/>
      </c>
      <c r="O196" s="17"/>
    </row>
    <row r="197" spans="1:15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8"/>
      <c r="L197" s="16"/>
      <c r="M197" s="16"/>
      <c r="N197" s="19" t="str">
        <f>IF(A197="","",IF(K197="",IFERROR(INDEX(Products!$S$3:$S$302,MATCH(A197,Products!$A$3:$A$302,0)),"Product not found"),K197-IF(L197="Percentage",ROUND(K197*N(M197)/100,2),IF(L197="Fixed amount",N(M197),0))))</f>
        <v/>
      </c>
      <c r="O197" s="17"/>
    </row>
    <row r="198" spans="1:15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8"/>
      <c r="L198" s="16"/>
      <c r="M198" s="16"/>
      <c r="N198" s="19" t="str">
        <f>IF(A198="","",IF(K198="",IFERROR(INDEX(Products!$S$3:$S$302,MATCH(A198,Products!$A$3:$A$302,0)),"Product not found"),K198-IF(L198="Percentage",ROUND(K198*N(M198)/100,2),IF(L198="Fixed amount",N(M198),0))))</f>
        <v/>
      </c>
      <c r="O198" s="17"/>
    </row>
    <row r="199" spans="1:15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8"/>
      <c r="L199" s="16"/>
      <c r="M199" s="16"/>
      <c r="N199" s="19" t="str">
        <f>IF(A199="","",IF(K199="",IFERROR(INDEX(Products!$S$3:$S$302,MATCH(A199,Products!$A$3:$A$302,0)),"Product not found"),K199-IF(L199="Percentage",ROUND(K199*N(M199)/100,2),IF(L199="Fixed amount",N(M199),0))))</f>
        <v/>
      </c>
      <c r="O199" s="17"/>
    </row>
    <row r="200" spans="1:15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8"/>
      <c r="L200" s="16"/>
      <c r="M200" s="16"/>
      <c r="N200" s="19" t="str">
        <f>IF(A200="","",IF(K200="",IFERROR(INDEX(Products!$S$3:$S$302,MATCH(A200,Products!$A$3:$A$302,0)),"Product not found"),K200-IF(L200="Percentage",ROUND(K200*N(M200)/100,2),IF(L200="Fixed amount",N(M200),0))))</f>
        <v/>
      </c>
      <c r="O200" s="17"/>
    </row>
    <row r="201" spans="1:15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8"/>
      <c r="L201" s="16"/>
      <c r="M201" s="16"/>
      <c r="N201" s="19" t="str">
        <f>IF(A201="","",IF(K201="",IFERROR(INDEX(Products!$S$3:$S$302,MATCH(A201,Products!$A$3:$A$302,0)),"Product not found"),K201-IF(L201="Percentage",ROUND(K201*N(M201)/100,2),IF(L201="Fixed amount",N(M201),0))))</f>
        <v/>
      </c>
      <c r="O201" s="17"/>
    </row>
    <row r="202" spans="1:15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8"/>
      <c r="L202" s="16"/>
      <c r="M202" s="16"/>
      <c r="N202" s="19" t="str">
        <f>IF(A202="","",IF(K202="",IFERROR(INDEX(Products!$S$3:$S$302,MATCH(A202,Products!$A$3:$A$302,0)),"Product not found"),K202-IF(L202="Percentage",ROUND(K202*N(M202)/100,2),IF(L202="Fixed amount",N(M202),0))))</f>
        <v/>
      </c>
      <c r="O202" s="17"/>
    </row>
    <row r="203" spans="1:15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8"/>
      <c r="L203" s="16"/>
      <c r="M203" s="16"/>
      <c r="N203" s="19" t="str">
        <f>IF(A203="","",IF(K203="",IFERROR(INDEX(Products!$S$3:$S$302,MATCH(A203,Products!$A$3:$A$302,0)),"Product not found"),K203-IF(L203="Percentage",ROUND(K203*N(M203)/100,2),IF(L203="Fixed amount",N(M203),0))))</f>
        <v/>
      </c>
      <c r="O203" s="17"/>
    </row>
    <row r="204" spans="1:15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8"/>
      <c r="L204" s="16"/>
      <c r="M204" s="16"/>
      <c r="N204" s="19" t="str">
        <f>IF(A204="","",IF(K204="",IFERROR(INDEX(Products!$S$3:$S$302,MATCH(A204,Products!$A$3:$A$302,0)),"Product not found"),K204-IF(L204="Percentage",ROUND(K204*N(M204)/100,2),IF(L204="Fixed amount",N(M204),0))))</f>
        <v/>
      </c>
      <c r="O204" s="17"/>
    </row>
    <row r="205" spans="1:15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8"/>
      <c r="L205" s="16"/>
      <c r="M205" s="16"/>
      <c r="N205" s="19" t="str">
        <f>IF(A205="","",IF(K205="",IFERROR(INDEX(Products!$S$3:$S$302,MATCH(A205,Products!$A$3:$A$302,0)),"Product not found"),K205-IF(L205="Percentage",ROUND(K205*N(M205)/100,2),IF(L205="Fixed amount",N(M205),0))))</f>
        <v/>
      </c>
      <c r="O205" s="17"/>
    </row>
    <row r="206" spans="1:15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8"/>
      <c r="L206" s="16"/>
      <c r="M206" s="16"/>
      <c r="N206" s="19" t="str">
        <f>IF(A206="","",IF(K206="",IFERROR(INDEX(Products!$S$3:$S$302,MATCH(A206,Products!$A$3:$A$302,0)),"Product not found"),K206-IF(L206="Percentage",ROUND(K206*N(M206)/100,2),IF(L206="Fixed amount",N(M206),0))))</f>
        <v/>
      </c>
      <c r="O206" s="17"/>
    </row>
    <row r="207" spans="1:15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8"/>
      <c r="L207" s="16"/>
      <c r="M207" s="16"/>
      <c r="N207" s="19" t="str">
        <f>IF(A207="","",IF(K207="",IFERROR(INDEX(Products!$S$3:$S$302,MATCH(A207,Products!$A$3:$A$302,0)),"Product not found"),K207-IF(L207="Percentage",ROUND(K207*N(M207)/100,2),IF(L207="Fixed amount",N(M207),0))))</f>
        <v/>
      </c>
      <c r="O207" s="17"/>
    </row>
    <row r="208" spans="1:15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8"/>
      <c r="L208" s="16"/>
      <c r="M208" s="16"/>
      <c r="N208" s="19" t="str">
        <f>IF(A208="","",IF(K208="",IFERROR(INDEX(Products!$S$3:$S$302,MATCH(A208,Products!$A$3:$A$302,0)),"Product not found"),K208-IF(L208="Percentage",ROUND(K208*N(M208)/100,2),IF(L208="Fixed amount",N(M208),0))))</f>
        <v/>
      </c>
      <c r="O208" s="17"/>
    </row>
    <row r="209" spans="1:15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8"/>
      <c r="L209" s="16"/>
      <c r="M209" s="16"/>
      <c r="N209" s="19" t="str">
        <f>IF(A209="","",IF(K209="",IFERROR(INDEX(Products!$S$3:$S$302,MATCH(A209,Products!$A$3:$A$302,0)),"Product not found"),K209-IF(L209="Percentage",ROUND(K209*N(M209)/100,2),IF(L209="Fixed amount",N(M209),0))))</f>
        <v/>
      </c>
      <c r="O209" s="17"/>
    </row>
    <row r="210" spans="1:15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8"/>
      <c r="L210" s="16"/>
      <c r="M210" s="16"/>
      <c r="N210" s="19" t="str">
        <f>IF(A210="","",IF(K210="",IFERROR(INDEX(Products!$S$3:$S$302,MATCH(A210,Products!$A$3:$A$302,0)),"Product not found"),K210-IF(L210="Percentage",ROUND(K210*N(M210)/100,2),IF(L210="Fixed amount",N(M210),0))))</f>
        <v/>
      </c>
      <c r="O210" s="17"/>
    </row>
    <row r="211" spans="1:15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8"/>
      <c r="L211" s="16"/>
      <c r="M211" s="16"/>
      <c r="N211" s="19" t="str">
        <f>IF(A211="","",IF(K211="",IFERROR(INDEX(Products!$S$3:$S$302,MATCH(A211,Products!$A$3:$A$302,0)),"Product not found"),K211-IF(L211="Percentage",ROUND(K211*N(M211)/100,2),IF(L211="Fixed amount",N(M211),0))))</f>
        <v/>
      </c>
      <c r="O211" s="17"/>
    </row>
    <row r="212" spans="1:15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8"/>
      <c r="L212" s="16"/>
      <c r="M212" s="16"/>
      <c r="N212" s="19" t="str">
        <f>IF(A212="","",IF(K212="",IFERROR(INDEX(Products!$S$3:$S$302,MATCH(A212,Products!$A$3:$A$302,0)),"Product not found"),K212-IF(L212="Percentage",ROUND(K212*N(M212)/100,2),IF(L212="Fixed amount",N(M212),0))))</f>
        <v/>
      </c>
      <c r="O212" s="17"/>
    </row>
    <row r="213" spans="1:15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8"/>
      <c r="L213" s="16"/>
      <c r="M213" s="16"/>
      <c r="N213" s="19" t="str">
        <f>IF(A213="","",IF(K213="",IFERROR(INDEX(Products!$S$3:$S$302,MATCH(A213,Products!$A$3:$A$302,0)),"Product not found"),K213-IF(L213="Percentage",ROUND(K213*N(M213)/100,2),IF(L213="Fixed amount",N(M213),0))))</f>
        <v/>
      </c>
      <c r="O213" s="17"/>
    </row>
    <row r="214" spans="1:15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8"/>
      <c r="L214" s="16"/>
      <c r="M214" s="16"/>
      <c r="N214" s="19" t="str">
        <f>IF(A214="","",IF(K214="",IFERROR(INDEX(Products!$S$3:$S$302,MATCH(A214,Products!$A$3:$A$302,0)),"Product not found"),K214-IF(L214="Percentage",ROUND(K214*N(M214)/100,2),IF(L214="Fixed amount",N(M214),0))))</f>
        <v/>
      </c>
      <c r="O214" s="17"/>
    </row>
    <row r="215" spans="1:15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8"/>
      <c r="L215" s="16"/>
      <c r="M215" s="16"/>
      <c r="N215" s="19" t="str">
        <f>IF(A215="","",IF(K215="",IFERROR(INDEX(Products!$S$3:$S$302,MATCH(A215,Products!$A$3:$A$302,0)),"Product not found"),K215-IF(L215="Percentage",ROUND(K215*N(M215)/100,2),IF(L215="Fixed amount",N(M215),0))))</f>
        <v/>
      </c>
      <c r="O215" s="17"/>
    </row>
    <row r="216" spans="1:15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8"/>
      <c r="L216" s="16"/>
      <c r="M216" s="16"/>
      <c r="N216" s="19" t="str">
        <f>IF(A216="","",IF(K216="",IFERROR(INDEX(Products!$S$3:$S$302,MATCH(A216,Products!$A$3:$A$302,0)),"Product not found"),K216-IF(L216="Percentage",ROUND(K216*N(M216)/100,2),IF(L216="Fixed amount",N(M216),0))))</f>
        <v/>
      </c>
      <c r="O216" s="17"/>
    </row>
    <row r="217" spans="1:15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8"/>
      <c r="L217" s="16"/>
      <c r="M217" s="16"/>
      <c r="N217" s="19" t="str">
        <f>IF(A217="","",IF(K217="",IFERROR(INDEX(Products!$S$3:$S$302,MATCH(A217,Products!$A$3:$A$302,0)),"Product not found"),K217-IF(L217="Percentage",ROUND(K217*N(M217)/100,2),IF(L217="Fixed amount",N(M217),0))))</f>
        <v/>
      </c>
      <c r="O217" s="17"/>
    </row>
    <row r="218" spans="1:15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8"/>
      <c r="L218" s="16"/>
      <c r="M218" s="16"/>
      <c r="N218" s="19" t="str">
        <f>IF(A218="","",IF(K218="",IFERROR(INDEX(Products!$S$3:$S$302,MATCH(A218,Products!$A$3:$A$302,0)),"Product not found"),K218-IF(L218="Percentage",ROUND(K218*N(M218)/100,2),IF(L218="Fixed amount",N(M218),0))))</f>
        <v/>
      </c>
      <c r="O218" s="17"/>
    </row>
    <row r="219" spans="1:15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8"/>
      <c r="L219" s="16"/>
      <c r="M219" s="16"/>
      <c r="N219" s="19" t="str">
        <f>IF(A219="","",IF(K219="",IFERROR(INDEX(Products!$S$3:$S$302,MATCH(A219,Products!$A$3:$A$302,0)),"Product not found"),K219-IF(L219="Percentage",ROUND(K219*N(M219)/100,2),IF(L219="Fixed amount",N(M219),0))))</f>
        <v/>
      </c>
      <c r="O219" s="17"/>
    </row>
    <row r="220" spans="1:15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8"/>
      <c r="L220" s="16"/>
      <c r="M220" s="16"/>
      <c r="N220" s="19" t="str">
        <f>IF(A220="","",IF(K220="",IFERROR(INDEX(Products!$S$3:$S$302,MATCH(A220,Products!$A$3:$A$302,0)),"Product not found"),K220-IF(L220="Percentage",ROUND(K220*N(M220)/100,2),IF(L220="Fixed amount",N(M220),0))))</f>
        <v/>
      </c>
      <c r="O220" s="17"/>
    </row>
    <row r="221" spans="1:15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8"/>
      <c r="L221" s="16"/>
      <c r="M221" s="16"/>
      <c r="N221" s="19" t="str">
        <f>IF(A221="","",IF(K221="",IFERROR(INDEX(Products!$S$3:$S$302,MATCH(A221,Products!$A$3:$A$302,0)),"Product not found"),K221-IF(L221="Percentage",ROUND(K221*N(M221)/100,2),IF(L221="Fixed amount",N(M221),0))))</f>
        <v/>
      </c>
      <c r="O221" s="17"/>
    </row>
    <row r="222" spans="1:15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8"/>
      <c r="L222" s="16"/>
      <c r="M222" s="16"/>
      <c r="N222" s="19" t="str">
        <f>IF(A222="","",IF(K222="",IFERROR(INDEX(Products!$S$3:$S$302,MATCH(A222,Products!$A$3:$A$302,0)),"Product not found"),K222-IF(L222="Percentage",ROUND(K222*N(M222)/100,2),IF(L222="Fixed amount",N(M222),0))))</f>
        <v/>
      </c>
      <c r="O222" s="17"/>
    </row>
    <row r="223" spans="1:15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8"/>
      <c r="L223" s="16"/>
      <c r="M223" s="16"/>
      <c r="N223" s="19" t="str">
        <f>IF(A223="","",IF(K223="",IFERROR(INDEX(Products!$S$3:$S$302,MATCH(A223,Products!$A$3:$A$302,0)),"Product not found"),K223-IF(L223="Percentage",ROUND(K223*N(M223)/100,2),IF(L223="Fixed amount",N(M223),0))))</f>
        <v/>
      </c>
      <c r="O223" s="17"/>
    </row>
    <row r="224" spans="1:15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8"/>
      <c r="L224" s="16"/>
      <c r="M224" s="16"/>
      <c r="N224" s="19" t="str">
        <f>IF(A224="","",IF(K224="",IFERROR(INDEX(Products!$S$3:$S$302,MATCH(A224,Products!$A$3:$A$302,0)),"Product not found"),K224-IF(L224="Percentage",ROUND(K224*N(M224)/100,2),IF(L224="Fixed amount",N(M224),0))))</f>
        <v/>
      </c>
      <c r="O224" s="17"/>
    </row>
    <row r="225" spans="1:15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8"/>
      <c r="L225" s="16"/>
      <c r="M225" s="16"/>
      <c r="N225" s="19" t="str">
        <f>IF(A225="","",IF(K225="",IFERROR(INDEX(Products!$S$3:$S$302,MATCH(A225,Products!$A$3:$A$302,0)),"Product not found"),K225-IF(L225="Percentage",ROUND(K225*N(M225)/100,2),IF(L225="Fixed amount",N(M225),0))))</f>
        <v/>
      </c>
      <c r="O225" s="17"/>
    </row>
    <row r="226" spans="1:15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8"/>
      <c r="L226" s="16"/>
      <c r="M226" s="16"/>
      <c r="N226" s="19" t="str">
        <f>IF(A226="","",IF(K226="",IFERROR(INDEX(Products!$S$3:$S$302,MATCH(A226,Products!$A$3:$A$302,0)),"Product not found"),K226-IF(L226="Percentage",ROUND(K226*N(M226)/100,2),IF(L226="Fixed amount",N(M226),0))))</f>
        <v/>
      </c>
      <c r="O226" s="17"/>
    </row>
    <row r="227" spans="1:15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8"/>
      <c r="L227" s="16"/>
      <c r="M227" s="16"/>
      <c r="N227" s="19" t="str">
        <f>IF(A227="","",IF(K227="",IFERROR(INDEX(Products!$S$3:$S$302,MATCH(A227,Products!$A$3:$A$302,0)),"Product not found"),K227-IF(L227="Percentage",ROUND(K227*N(M227)/100,2),IF(L227="Fixed amount",N(M227),0))))</f>
        <v/>
      </c>
      <c r="O227" s="17"/>
    </row>
    <row r="228" spans="1:15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8"/>
      <c r="L228" s="16"/>
      <c r="M228" s="16"/>
      <c r="N228" s="19" t="str">
        <f>IF(A228="","",IF(K228="",IFERROR(INDEX(Products!$S$3:$S$302,MATCH(A228,Products!$A$3:$A$302,0)),"Product not found"),K228-IF(L228="Percentage",ROUND(K228*N(M228)/100,2),IF(L228="Fixed amount",N(M228),0))))</f>
        <v/>
      </c>
      <c r="O228" s="17"/>
    </row>
    <row r="229" spans="1:15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8"/>
      <c r="L229" s="16"/>
      <c r="M229" s="16"/>
      <c r="N229" s="19" t="str">
        <f>IF(A229="","",IF(K229="",IFERROR(INDEX(Products!$S$3:$S$302,MATCH(A229,Products!$A$3:$A$302,0)),"Product not found"),K229-IF(L229="Percentage",ROUND(K229*N(M229)/100,2),IF(L229="Fixed amount",N(M229),0))))</f>
        <v/>
      </c>
      <c r="O229" s="17"/>
    </row>
    <row r="230" spans="1:15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8"/>
      <c r="L230" s="16"/>
      <c r="M230" s="16"/>
      <c r="N230" s="19" t="str">
        <f>IF(A230="","",IF(K230="",IFERROR(INDEX(Products!$S$3:$S$302,MATCH(A230,Products!$A$3:$A$302,0)),"Product not found"),K230-IF(L230="Percentage",ROUND(K230*N(M230)/100,2),IF(L230="Fixed amount",N(M230),0))))</f>
        <v/>
      </c>
      <c r="O230" s="17"/>
    </row>
    <row r="231" spans="1:15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8"/>
      <c r="L231" s="16"/>
      <c r="M231" s="16"/>
      <c r="N231" s="19" t="str">
        <f>IF(A231="","",IF(K231="",IFERROR(INDEX(Products!$S$3:$S$302,MATCH(A231,Products!$A$3:$A$302,0)),"Product not found"),K231-IF(L231="Percentage",ROUND(K231*N(M231)/100,2),IF(L231="Fixed amount",N(M231),0))))</f>
        <v/>
      </c>
      <c r="O231" s="17"/>
    </row>
    <row r="232" spans="1:15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8"/>
      <c r="L232" s="16"/>
      <c r="M232" s="16"/>
      <c r="N232" s="19" t="str">
        <f>IF(A232="","",IF(K232="",IFERROR(INDEX(Products!$S$3:$S$302,MATCH(A232,Products!$A$3:$A$302,0)),"Product not found"),K232-IF(L232="Percentage",ROUND(K232*N(M232)/100,2),IF(L232="Fixed amount",N(M232),0))))</f>
        <v/>
      </c>
      <c r="O232" s="17"/>
    </row>
    <row r="233" spans="1:15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8"/>
      <c r="L233" s="16"/>
      <c r="M233" s="16"/>
      <c r="N233" s="19" t="str">
        <f>IF(A233="","",IF(K233="",IFERROR(INDEX(Products!$S$3:$S$302,MATCH(A233,Products!$A$3:$A$302,0)),"Product not found"),K233-IF(L233="Percentage",ROUND(K233*N(M233)/100,2),IF(L233="Fixed amount",N(M233),0))))</f>
        <v/>
      </c>
      <c r="O233" s="17"/>
    </row>
    <row r="234" spans="1:15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8"/>
      <c r="L234" s="16"/>
      <c r="M234" s="16"/>
      <c r="N234" s="19" t="str">
        <f>IF(A234="","",IF(K234="",IFERROR(INDEX(Products!$S$3:$S$302,MATCH(A234,Products!$A$3:$A$302,0)),"Product not found"),K234-IF(L234="Percentage",ROUND(K234*N(M234)/100,2),IF(L234="Fixed amount",N(M234),0))))</f>
        <v/>
      </c>
      <c r="O234" s="17"/>
    </row>
    <row r="235" spans="1:15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8"/>
      <c r="L235" s="16"/>
      <c r="M235" s="16"/>
      <c r="N235" s="19" t="str">
        <f>IF(A235="","",IF(K235="",IFERROR(INDEX(Products!$S$3:$S$302,MATCH(A235,Products!$A$3:$A$302,0)),"Product not found"),K235-IF(L235="Percentage",ROUND(K235*N(M235)/100,2),IF(L235="Fixed amount",N(M235),0))))</f>
        <v/>
      </c>
      <c r="O235" s="17"/>
    </row>
    <row r="236" spans="1:15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8"/>
      <c r="L236" s="16"/>
      <c r="M236" s="16"/>
      <c r="N236" s="19" t="str">
        <f>IF(A236="","",IF(K236="",IFERROR(INDEX(Products!$S$3:$S$302,MATCH(A236,Products!$A$3:$A$302,0)),"Product not found"),K236-IF(L236="Percentage",ROUND(K236*N(M236)/100,2),IF(L236="Fixed amount",N(M236),0))))</f>
        <v/>
      </c>
      <c r="O236" s="17"/>
    </row>
    <row r="237" spans="1:15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8"/>
      <c r="L237" s="16"/>
      <c r="M237" s="16"/>
      <c r="N237" s="19" t="str">
        <f>IF(A237="","",IF(K237="",IFERROR(INDEX(Products!$S$3:$S$302,MATCH(A237,Products!$A$3:$A$302,0)),"Product not found"),K237-IF(L237="Percentage",ROUND(K237*N(M237)/100,2),IF(L237="Fixed amount",N(M237),0))))</f>
        <v/>
      </c>
      <c r="O237" s="17"/>
    </row>
    <row r="238" spans="1:15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8"/>
      <c r="L238" s="16"/>
      <c r="M238" s="16"/>
      <c r="N238" s="19" t="str">
        <f>IF(A238="","",IF(K238="",IFERROR(INDEX(Products!$S$3:$S$302,MATCH(A238,Products!$A$3:$A$302,0)),"Product not found"),K238-IF(L238="Percentage",ROUND(K238*N(M238)/100,2),IF(L238="Fixed amount",N(M238),0))))</f>
        <v/>
      </c>
      <c r="O238" s="17"/>
    </row>
    <row r="239" spans="1:15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8"/>
      <c r="L239" s="16"/>
      <c r="M239" s="16"/>
      <c r="N239" s="19" t="str">
        <f>IF(A239="","",IF(K239="",IFERROR(INDEX(Products!$S$3:$S$302,MATCH(A239,Products!$A$3:$A$302,0)),"Product not found"),K239-IF(L239="Percentage",ROUND(K239*N(M239)/100,2),IF(L239="Fixed amount",N(M239),0))))</f>
        <v/>
      </c>
      <c r="O239" s="17"/>
    </row>
    <row r="240" spans="1:15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8"/>
      <c r="L240" s="16"/>
      <c r="M240" s="16"/>
      <c r="N240" s="19" t="str">
        <f>IF(A240="","",IF(K240="",IFERROR(INDEX(Products!$S$3:$S$302,MATCH(A240,Products!$A$3:$A$302,0)),"Product not found"),K240-IF(L240="Percentage",ROUND(K240*N(M240)/100,2),IF(L240="Fixed amount",N(M240),0))))</f>
        <v/>
      </c>
      <c r="O240" s="17"/>
    </row>
    <row r="241" spans="1:15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8"/>
      <c r="L241" s="16"/>
      <c r="M241" s="16"/>
      <c r="N241" s="19" t="str">
        <f>IF(A241="","",IF(K241="",IFERROR(INDEX(Products!$S$3:$S$302,MATCH(A241,Products!$A$3:$A$302,0)),"Product not found"),K241-IF(L241="Percentage",ROUND(K241*N(M241)/100,2),IF(L241="Fixed amount",N(M241),0))))</f>
        <v/>
      </c>
      <c r="O241" s="17"/>
    </row>
    <row r="242" spans="1:15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8"/>
      <c r="L242" s="16"/>
      <c r="M242" s="16"/>
      <c r="N242" s="19" t="str">
        <f>IF(A242="","",IF(K242="",IFERROR(INDEX(Products!$S$3:$S$302,MATCH(A242,Products!$A$3:$A$302,0)),"Product not found"),K242-IF(L242="Percentage",ROUND(K242*N(M242)/100,2),IF(L242="Fixed amount",N(M242),0))))</f>
        <v/>
      </c>
      <c r="O242" s="17"/>
    </row>
    <row r="243" spans="1:15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8"/>
      <c r="L243" s="16"/>
      <c r="M243" s="16"/>
      <c r="N243" s="19" t="str">
        <f>IF(A243="","",IF(K243="",IFERROR(INDEX(Products!$S$3:$S$302,MATCH(A243,Products!$A$3:$A$302,0)),"Product not found"),K243-IF(L243="Percentage",ROUND(K243*N(M243)/100,2),IF(L243="Fixed amount",N(M243),0))))</f>
        <v/>
      </c>
      <c r="O243" s="17"/>
    </row>
    <row r="244" spans="1:15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8"/>
      <c r="L244" s="16"/>
      <c r="M244" s="16"/>
      <c r="N244" s="19" t="str">
        <f>IF(A244="","",IF(K244="",IFERROR(INDEX(Products!$S$3:$S$302,MATCH(A244,Products!$A$3:$A$302,0)),"Product not found"),K244-IF(L244="Percentage",ROUND(K244*N(M244)/100,2),IF(L244="Fixed amount",N(M244),0))))</f>
        <v/>
      </c>
      <c r="O244" s="17"/>
    </row>
    <row r="245" spans="1:15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8"/>
      <c r="L245" s="16"/>
      <c r="M245" s="16"/>
      <c r="N245" s="19" t="str">
        <f>IF(A245="","",IF(K245="",IFERROR(INDEX(Products!$S$3:$S$302,MATCH(A245,Products!$A$3:$A$302,0)),"Product not found"),K245-IF(L245="Percentage",ROUND(K245*N(M245)/100,2),IF(L245="Fixed amount",N(M245),0))))</f>
        <v/>
      </c>
      <c r="O245" s="17"/>
    </row>
    <row r="246" spans="1:15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8"/>
      <c r="L246" s="16"/>
      <c r="M246" s="16"/>
      <c r="N246" s="19" t="str">
        <f>IF(A246="","",IF(K246="",IFERROR(INDEX(Products!$S$3:$S$302,MATCH(A246,Products!$A$3:$A$302,0)),"Product not found"),K246-IF(L246="Percentage",ROUND(K246*N(M246)/100,2),IF(L246="Fixed amount",N(M246),0))))</f>
        <v/>
      </c>
      <c r="O246" s="17"/>
    </row>
    <row r="247" spans="1:15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8"/>
      <c r="L247" s="16"/>
      <c r="M247" s="16"/>
      <c r="N247" s="19" t="str">
        <f>IF(A247="","",IF(K247="",IFERROR(INDEX(Products!$S$3:$S$302,MATCH(A247,Products!$A$3:$A$302,0)),"Product not found"),K247-IF(L247="Percentage",ROUND(K247*N(M247)/100,2),IF(L247="Fixed amount",N(M247),0))))</f>
        <v/>
      </c>
      <c r="O247" s="17"/>
    </row>
    <row r="248" spans="1:15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8"/>
      <c r="L248" s="16"/>
      <c r="M248" s="16"/>
      <c r="N248" s="19" t="str">
        <f>IF(A248="","",IF(K248="",IFERROR(INDEX(Products!$S$3:$S$302,MATCH(A248,Products!$A$3:$A$302,0)),"Product not found"),K248-IF(L248="Percentage",ROUND(K248*N(M248)/100,2),IF(L248="Fixed amount",N(M248),0))))</f>
        <v/>
      </c>
      <c r="O248" s="17"/>
    </row>
    <row r="249" spans="1:15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8"/>
      <c r="L249" s="16"/>
      <c r="M249" s="16"/>
      <c r="N249" s="19" t="str">
        <f>IF(A249="","",IF(K249="",IFERROR(INDEX(Products!$S$3:$S$302,MATCH(A249,Products!$A$3:$A$302,0)),"Product not found"),K249-IF(L249="Percentage",ROUND(K249*N(M249)/100,2),IF(L249="Fixed amount",N(M249),0))))</f>
        <v/>
      </c>
      <c r="O249" s="17"/>
    </row>
    <row r="250" spans="1:15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8"/>
      <c r="L250" s="16"/>
      <c r="M250" s="16"/>
      <c r="N250" s="19" t="str">
        <f>IF(A250="","",IF(K250="",IFERROR(INDEX(Products!$S$3:$S$302,MATCH(A250,Products!$A$3:$A$302,0)),"Product not found"),K250-IF(L250="Percentage",ROUND(K250*N(M250)/100,2),IF(L250="Fixed amount",N(M250),0))))</f>
        <v/>
      </c>
      <c r="O250" s="17"/>
    </row>
    <row r="251" spans="1:15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8"/>
      <c r="L251" s="16"/>
      <c r="M251" s="16"/>
      <c r="N251" s="19" t="str">
        <f>IF(A251="","",IF(K251="",IFERROR(INDEX(Products!$S$3:$S$302,MATCH(A251,Products!$A$3:$A$302,0)),"Product not found"),K251-IF(L251="Percentage",ROUND(K251*N(M251)/100,2),IF(L251="Fixed amount",N(M251),0))))</f>
        <v/>
      </c>
      <c r="O251" s="17"/>
    </row>
    <row r="252" spans="1:15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8"/>
      <c r="L252" s="16"/>
      <c r="M252" s="16"/>
      <c r="N252" s="19" t="str">
        <f>IF(A252="","",IF(K252="",IFERROR(INDEX(Products!$S$3:$S$302,MATCH(A252,Products!$A$3:$A$302,0)),"Product not found"),K252-IF(L252="Percentage",ROUND(K252*N(M252)/100,2),IF(L252="Fixed amount",N(M252),0))))</f>
        <v/>
      </c>
      <c r="O252" s="17"/>
    </row>
    <row r="253" spans="1:15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8"/>
      <c r="L253" s="16"/>
      <c r="M253" s="16"/>
      <c r="N253" s="19" t="str">
        <f>IF(A253="","",IF(K253="",IFERROR(INDEX(Products!$S$3:$S$302,MATCH(A253,Products!$A$3:$A$302,0)),"Product not found"),K253-IF(L253="Percentage",ROUND(K253*N(M253)/100,2),IF(L253="Fixed amount",N(M253),0))))</f>
        <v/>
      </c>
      <c r="O253" s="17"/>
    </row>
    <row r="254" spans="1:15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8"/>
      <c r="L254" s="16"/>
      <c r="M254" s="16"/>
      <c r="N254" s="19" t="str">
        <f>IF(A254="","",IF(K254="",IFERROR(INDEX(Products!$S$3:$S$302,MATCH(A254,Products!$A$3:$A$302,0)),"Product not found"),K254-IF(L254="Percentage",ROUND(K254*N(M254)/100,2),IF(L254="Fixed amount",N(M254),0))))</f>
        <v/>
      </c>
      <c r="O254" s="17"/>
    </row>
    <row r="255" spans="1:15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8"/>
      <c r="L255" s="16"/>
      <c r="M255" s="16"/>
      <c r="N255" s="19" t="str">
        <f>IF(A255="","",IF(K255="",IFERROR(INDEX(Products!$S$3:$S$302,MATCH(A255,Products!$A$3:$A$302,0)),"Product not found"),K255-IF(L255="Percentage",ROUND(K255*N(M255)/100,2),IF(L255="Fixed amount",N(M255),0))))</f>
        <v/>
      </c>
      <c r="O255" s="17"/>
    </row>
    <row r="256" spans="1:15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8"/>
      <c r="L256" s="16"/>
      <c r="M256" s="16"/>
      <c r="N256" s="19" t="str">
        <f>IF(A256="","",IF(K256="",IFERROR(INDEX(Products!$S$3:$S$302,MATCH(A256,Products!$A$3:$A$302,0)),"Product not found"),K256-IF(L256="Percentage",ROUND(K256*N(M256)/100,2),IF(L256="Fixed amount",N(M256),0))))</f>
        <v/>
      </c>
      <c r="O256" s="17"/>
    </row>
    <row r="257" spans="1:15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8"/>
      <c r="L257" s="16"/>
      <c r="M257" s="16"/>
      <c r="N257" s="19" t="str">
        <f>IF(A257="","",IF(K257="",IFERROR(INDEX(Products!$S$3:$S$302,MATCH(A257,Products!$A$3:$A$302,0)),"Product not found"),K257-IF(L257="Percentage",ROUND(K257*N(M257)/100,2),IF(L257="Fixed amount",N(M257),0))))</f>
        <v/>
      </c>
      <c r="O257" s="17"/>
    </row>
    <row r="258" spans="1:15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8"/>
      <c r="L258" s="16"/>
      <c r="M258" s="16"/>
      <c r="N258" s="19" t="str">
        <f>IF(A258="","",IF(K258="",IFERROR(INDEX(Products!$S$3:$S$302,MATCH(A258,Products!$A$3:$A$302,0)),"Product not found"),K258-IF(L258="Percentage",ROUND(K258*N(M258)/100,2),IF(L258="Fixed amount",N(M258),0))))</f>
        <v/>
      </c>
      <c r="O258" s="17"/>
    </row>
    <row r="259" spans="1:15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8"/>
      <c r="L259" s="16"/>
      <c r="M259" s="16"/>
      <c r="N259" s="19" t="str">
        <f>IF(A259="","",IF(K259="",IFERROR(INDEX(Products!$S$3:$S$302,MATCH(A259,Products!$A$3:$A$302,0)),"Product not found"),K259-IF(L259="Percentage",ROUND(K259*N(M259)/100,2),IF(L259="Fixed amount",N(M259),0))))</f>
        <v/>
      </c>
      <c r="O259" s="17"/>
    </row>
    <row r="260" spans="1:15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8"/>
      <c r="L260" s="16"/>
      <c r="M260" s="16"/>
      <c r="N260" s="19" t="str">
        <f>IF(A260="","",IF(K260="",IFERROR(INDEX(Products!$S$3:$S$302,MATCH(A260,Products!$A$3:$A$302,0)),"Product not found"),K260-IF(L260="Percentage",ROUND(K260*N(M260)/100,2),IF(L260="Fixed amount",N(M260),0))))</f>
        <v/>
      </c>
      <c r="O260" s="17"/>
    </row>
    <row r="261" spans="1:15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8"/>
      <c r="L261" s="16"/>
      <c r="M261" s="16"/>
      <c r="N261" s="19" t="str">
        <f>IF(A261="","",IF(K261="",IFERROR(INDEX(Products!$S$3:$S$302,MATCH(A261,Products!$A$3:$A$302,0)),"Product not found"),K261-IF(L261="Percentage",ROUND(K261*N(M261)/100,2),IF(L261="Fixed amount",N(M261),0))))</f>
        <v/>
      </c>
      <c r="O261" s="17"/>
    </row>
    <row r="262" spans="1:15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8"/>
      <c r="L262" s="16"/>
      <c r="M262" s="16"/>
      <c r="N262" s="19" t="str">
        <f>IF(A262="","",IF(K262="",IFERROR(INDEX(Products!$S$3:$S$302,MATCH(A262,Products!$A$3:$A$302,0)),"Product not found"),K262-IF(L262="Percentage",ROUND(K262*N(M262)/100,2),IF(L262="Fixed amount",N(M262),0))))</f>
        <v/>
      </c>
      <c r="O262" s="17"/>
    </row>
    <row r="263" spans="1:15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8"/>
      <c r="L263" s="16"/>
      <c r="M263" s="16"/>
      <c r="N263" s="19" t="str">
        <f>IF(A263="","",IF(K263="",IFERROR(INDEX(Products!$S$3:$S$302,MATCH(A263,Products!$A$3:$A$302,0)),"Product not found"),K263-IF(L263="Percentage",ROUND(K263*N(M263)/100,2),IF(L263="Fixed amount",N(M263),0))))</f>
        <v/>
      </c>
      <c r="O263" s="17"/>
    </row>
    <row r="264" spans="1:15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8"/>
      <c r="L264" s="16"/>
      <c r="M264" s="16"/>
      <c r="N264" s="19" t="str">
        <f>IF(A264="","",IF(K264="",IFERROR(INDEX(Products!$S$3:$S$302,MATCH(A264,Products!$A$3:$A$302,0)),"Product not found"),K264-IF(L264="Percentage",ROUND(K264*N(M264)/100,2),IF(L264="Fixed amount",N(M264),0))))</f>
        <v/>
      </c>
      <c r="O264" s="17"/>
    </row>
    <row r="265" spans="1:15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8"/>
      <c r="L265" s="16"/>
      <c r="M265" s="16"/>
      <c r="N265" s="19" t="str">
        <f>IF(A265="","",IF(K265="",IFERROR(INDEX(Products!$S$3:$S$302,MATCH(A265,Products!$A$3:$A$302,0)),"Product not found"),K265-IF(L265="Percentage",ROUND(K265*N(M265)/100,2),IF(L265="Fixed amount",N(M265),0))))</f>
        <v/>
      </c>
      <c r="O265" s="17"/>
    </row>
    <row r="266" spans="1:15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8"/>
      <c r="L266" s="16"/>
      <c r="M266" s="16"/>
      <c r="N266" s="19" t="str">
        <f>IF(A266="","",IF(K266="",IFERROR(INDEX(Products!$S$3:$S$302,MATCH(A266,Products!$A$3:$A$302,0)),"Product not found"),K266-IF(L266="Percentage",ROUND(K266*N(M266)/100,2),IF(L266="Fixed amount",N(M266),0))))</f>
        <v/>
      </c>
      <c r="O266" s="17"/>
    </row>
    <row r="267" spans="1:15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8"/>
      <c r="L267" s="16"/>
      <c r="M267" s="16"/>
      <c r="N267" s="19" t="str">
        <f>IF(A267="","",IF(K267="",IFERROR(INDEX(Products!$S$3:$S$302,MATCH(A267,Products!$A$3:$A$302,0)),"Product not found"),K267-IF(L267="Percentage",ROUND(K267*N(M267)/100,2),IF(L267="Fixed amount",N(M267),0))))</f>
        <v/>
      </c>
      <c r="O267" s="17"/>
    </row>
    <row r="268" spans="1:15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8"/>
      <c r="L268" s="16"/>
      <c r="M268" s="16"/>
      <c r="N268" s="19" t="str">
        <f>IF(A268="","",IF(K268="",IFERROR(INDEX(Products!$S$3:$S$302,MATCH(A268,Products!$A$3:$A$302,0)),"Product not found"),K268-IF(L268="Percentage",ROUND(K268*N(M268)/100,2),IF(L268="Fixed amount",N(M268),0))))</f>
        <v/>
      </c>
      <c r="O268" s="17"/>
    </row>
    <row r="269" spans="1:15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8"/>
      <c r="L269" s="16"/>
      <c r="M269" s="16"/>
      <c r="N269" s="19" t="str">
        <f>IF(A269="","",IF(K269="",IFERROR(INDEX(Products!$S$3:$S$302,MATCH(A269,Products!$A$3:$A$302,0)),"Product not found"),K269-IF(L269="Percentage",ROUND(K269*N(M269)/100,2),IF(L269="Fixed amount",N(M269),0))))</f>
        <v/>
      </c>
      <c r="O269" s="17"/>
    </row>
    <row r="270" spans="1:15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8"/>
      <c r="L270" s="16"/>
      <c r="M270" s="16"/>
      <c r="N270" s="19" t="str">
        <f>IF(A270="","",IF(K270="",IFERROR(INDEX(Products!$S$3:$S$302,MATCH(A270,Products!$A$3:$A$302,0)),"Product not found"),K270-IF(L270="Percentage",ROUND(K270*N(M270)/100,2),IF(L270="Fixed amount",N(M270),0))))</f>
        <v/>
      </c>
      <c r="O270" s="17"/>
    </row>
    <row r="271" spans="1:15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8"/>
      <c r="L271" s="16"/>
      <c r="M271" s="16"/>
      <c r="N271" s="19" t="str">
        <f>IF(A271="","",IF(K271="",IFERROR(INDEX(Products!$S$3:$S$302,MATCH(A271,Products!$A$3:$A$302,0)),"Product not found"),K271-IF(L271="Percentage",ROUND(K271*N(M271)/100,2),IF(L271="Fixed amount",N(M271),0))))</f>
        <v/>
      </c>
      <c r="O271" s="17"/>
    </row>
    <row r="272" spans="1:15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8"/>
      <c r="L272" s="16"/>
      <c r="M272" s="16"/>
      <c r="N272" s="19" t="str">
        <f>IF(A272="","",IF(K272="",IFERROR(INDEX(Products!$S$3:$S$302,MATCH(A272,Products!$A$3:$A$302,0)),"Product not found"),K272-IF(L272="Percentage",ROUND(K272*N(M272)/100,2),IF(L272="Fixed amount",N(M272),0))))</f>
        <v/>
      </c>
      <c r="O272" s="17"/>
    </row>
    <row r="273" spans="1:15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8"/>
      <c r="L273" s="16"/>
      <c r="M273" s="16"/>
      <c r="N273" s="19" t="str">
        <f>IF(A273="","",IF(K273="",IFERROR(INDEX(Products!$S$3:$S$302,MATCH(A273,Products!$A$3:$A$302,0)),"Product not found"),K273-IF(L273="Percentage",ROUND(K273*N(M273)/100,2),IF(L273="Fixed amount",N(M273),0))))</f>
        <v/>
      </c>
      <c r="O273" s="17"/>
    </row>
    <row r="274" spans="1:15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8"/>
      <c r="L274" s="16"/>
      <c r="M274" s="16"/>
      <c r="N274" s="19" t="str">
        <f>IF(A274="","",IF(K274="",IFERROR(INDEX(Products!$S$3:$S$302,MATCH(A274,Products!$A$3:$A$302,0)),"Product not found"),K274-IF(L274="Percentage",ROUND(K274*N(M274)/100,2),IF(L274="Fixed amount",N(M274),0))))</f>
        <v/>
      </c>
      <c r="O274" s="17"/>
    </row>
    <row r="275" spans="1:15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8"/>
      <c r="L275" s="16"/>
      <c r="M275" s="16"/>
      <c r="N275" s="19" t="str">
        <f>IF(A275="","",IF(K275="",IFERROR(INDEX(Products!$S$3:$S$302,MATCH(A275,Products!$A$3:$A$302,0)),"Product not found"),K275-IF(L275="Percentage",ROUND(K275*N(M275)/100,2),IF(L275="Fixed amount",N(M275),0))))</f>
        <v/>
      </c>
      <c r="O275" s="17"/>
    </row>
    <row r="276" spans="1:15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8"/>
      <c r="L276" s="16"/>
      <c r="M276" s="16"/>
      <c r="N276" s="19" t="str">
        <f>IF(A276="","",IF(K276="",IFERROR(INDEX(Products!$S$3:$S$302,MATCH(A276,Products!$A$3:$A$302,0)),"Product not found"),K276-IF(L276="Percentage",ROUND(K276*N(M276)/100,2),IF(L276="Fixed amount",N(M276),0))))</f>
        <v/>
      </c>
      <c r="O276" s="17"/>
    </row>
    <row r="277" spans="1:15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8"/>
      <c r="L277" s="16"/>
      <c r="M277" s="16"/>
      <c r="N277" s="19" t="str">
        <f>IF(A277="","",IF(K277="",IFERROR(INDEX(Products!$S$3:$S$302,MATCH(A277,Products!$A$3:$A$302,0)),"Product not found"),K277-IF(L277="Percentage",ROUND(K277*N(M277)/100,2),IF(L277="Fixed amount",N(M277),0))))</f>
        <v/>
      </c>
      <c r="O277" s="17"/>
    </row>
    <row r="278" spans="1:15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8"/>
      <c r="L278" s="16"/>
      <c r="M278" s="16"/>
      <c r="N278" s="19" t="str">
        <f>IF(A278="","",IF(K278="",IFERROR(INDEX(Products!$S$3:$S$302,MATCH(A278,Products!$A$3:$A$302,0)),"Product not found"),K278-IF(L278="Percentage",ROUND(K278*N(M278)/100,2),IF(L278="Fixed amount",N(M278),0))))</f>
        <v/>
      </c>
      <c r="O278" s="17"/>
    </row>
    <row r="279" spans="1:15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8"/>
      <c r="L279" s="16"/>
      <c r="M279" s="16"/>
      <c r="N279" s="19" t="str">
        <f>IF(A279="","",IF(K279="",IFERROR(INDEX(Products!$S$3:$S$302,MATCH(A279,Products!$A$3:$A$302,0)),"Product not found"),K279-IF(L279="Percentage",ROUND(K279*N(M279)/100,2),IF(L279="Fixed amount",N(M279),0))))</f>
        <v/>
      </c>
      <c r="O279" s="17"/>
    </row>
    <row r="280" spans="1:15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8"/>
      <c r="L280" s="16"/>
      <c r="M280" s="16"/>
      <c r="N280" s="19" t="str">
        <f>IF(A280="","",IF(K280="",IFERROR(INDEX(Products!$S$3:$S$302,MATCH(A280,Products!$A$3:$A$302,0)),"Product not found"),K280-IF(L280="Percentage",ROUND(K280*N(M280)/100,2),IF(L280="Fixed amount",N(M280),0))))</f>
        <v/>
      </c>
      <c r="O280" s="17"/>
    </row>
    <row r="281" spans="1:15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8"/>
      <c r="L281" s="16"/>
      <c r="M281" s="16"/>
      <c r="N281" s="19" t="str">
        <f>IF(A281="","",IF(K281="",IFERROR(INDEX(Products!$S$3:$S$302,MATCH(A281,Products!$A$3:$A$302,0)),"Product not found"),K281-IF(L281="Percentage",ROUND(K281*N(M281)/100,2),IF(L281="Fixed amount",N(M281),0))))</f>
        <v/>
      </c>
      <c r="O281" s="17"/>
    </row>
    <row r="282" spans="1:15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8"/>
      <c r="L282" s="16"/>
      <c r="M282" s="16"/>
      <c r="N282" s="19" t="str">
        <f>IF(A282="","",IF(K282="",IFERROR(INDEX(Products!$S$3:$S$302,MATCH(A282,Products!$A$3:$A$302,0)),"Product not found"),K282-IF(L282="Percentage",ROUND(K282*N(M282)/100,2),IF(L282="Fixed amount",N(M282),0))))</f>
        <v/>
      </c>
      <c r="O282" s="17"/>
    </row>
    <row r="283" spans="1:15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8"/>
      <c r="L283" s="16"/>
      <c r="M283" s="16"/>
      <c r="N283" s="19" t="str">
        <f>IF(A283="","",IF(K283="",IFERROR(INDEX(Products!$S$3:$S$302,MATCH(A283,Products!$A$3:$A$302,0)),"Product not found"),K283-IF(L283="Percentage",ROUND(K283*N(M283)/100,2),IF(L283="Fixed amount",N(M283),0))))</f>
        <v/>
      </c>
      <c r="O283" s="17"/>
    </row>
    <row r="284" spans="1:15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8"/>
      <c r="L284" s="16"/>
      <c r="M284" s="16"/>
      <c r="N284" s="19" t="str">
        <f>IF(A284="","",IF(K284="",IFERROR(INDEX(Products!$S$3:$S$302,MATCH(A284,Products!$A$3:$A$302,0)),"Product not found"),K284-IF(L284="Percentage",ROUND(K284*N(M284)/100,2),IF(L284="Fixed amount",N(M284),0))))</f>
        <v/>
      </c>
      <c r="O284" s="17"/>
    </row>
    <row r="285" spans="1:15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8"/>
      <c r="L285" s="16"/>
      <c r="M285" s="16"/>
      <c r="N285" s="19" t="str">
        <f>IF(A285="","",IF(K285="",IFERROR(INDEX(Products!$S$3:$S$302,MATCH(A285,Products!$A$3:$A$302,0)),"Product not found"),K285-IF(L285="Percentage",ROUND(K285*N(M285)/100,2),IF(L285="Fixed amount",N(M285),0))))</f>
        <v/>
      </c>
      <c r="O285" s="17"/>
    </row>
    <row r="286" spans="1:15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8"/>
      <c r="L286" s="16"/>
      <c r="M286" s="16"/>
      <c r="N286" s="19" t="str">
        <f>IF(A286="","",IF(K286="",IFERROR(INDEX(Products!$S$3:$S$302,MATCH(A286,Products!$A$3:$A$302,0)),"Product not found"),K286-IF(L286="Percentage",ROUND(K286*N(M286)/100,2),IF(L286="Fixed amount",N(M286),0))))</f>
        <v/>
      </c>
      <c r="O286" s="17"/>
    </row>
    <row r="287" spans="1:15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8"/>
      <c r="L287" s="16"/>
      <c r="M287" s="16"/>
      <c r="N287" s="19" t="str">
        <f>IF(A287="","",IF(K287="",IFERROR(INDEX(Products!$S$3:$S$302,MATCH(A287,Products!$A$3:$A$302,0)),"Product not found"),K287-IF(L287="Percentage",ROUND(K287*N(M287)/100,2),IF(L287="Fixed amount",N(M287),0))))</f>
        <v/>
      </c>
      <c r="O287" s="17"/>
    </row>
    <row r="288" spans="1:15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8"/>
      <c r="L288" s="16"/>
      <c r="M288" s="16"/>
      <c r="N288" s="19" t="str">
        <f>IF(A288="","",IF(K288="",IFERROR(INDEX(Products!$S$3:$S$302,MATCH(A288,Products!$A$3:$A$302,0)),"Product not found"),K288-IF(L288="Percentage",ROUND(K288*N(M288)/100,2),IF(L288="Fixed amount",N(M288),0))))</f>
        <v/>
      </c>
      <c r="O288" s="17"/>
    </row>
    <row r="289" spans="1:15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8"/>
      <c r="L289" s="16"/>
      <c r="M289" s="16"/>
      <c r="N289" s="19" t="str">
        <f>IF(A289="","",IF(K289="",IFERROR(INDEX(Products!$S$3:$S$302,MATCH(A289,Products!$A$3:$A$302,0)),"Product not found"),K289-IF(L289="Percentage",ROUND(K289*N(M289)/100,2),IF(L289="Fixed amount",N(M289),0))))</f>
        <v/>
      </c>
      <c r="O289" s="17"/>
    </row>
    <row r="290" spans="1:15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8"/>
      <c r="L290" s="16"/>
      <c r="M290" s="16"/>
      <c r="N290" s="19" t="str">
        <f>IF(A290="","",IF(K290="",IFERROR(INDEX(Products!$S$3:$S$302,MATCH(A290,Products!$A$3:$A$302,0)),"Product not found"),K290-IF(L290="Percentage",ROUND(K290*N(M290)/100,2),IF(L290="Fixed amount",N(M290),0))))</f>
        <v/>
      </c>
      <c r="O290" s="17"/>
    </row>
    <row r="291" spans="1:15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8"/>
      <c r="L291" s="16"/>
      <c r="M291" s="16"/>
      <c r="N291" s="19" t="str">
        <f>IF(A291="","",IF(K291="",IFERROR(INDEX(Products!$S$3:$S$302,MATCH(A291,Products!$A$3:$A$302,0)),"Product not found"),K291-IF(L291="Percentage",ROUND(K291*N(M291)/100,2),IF(L291="Fixed amount",N(M291),0))))</f>
        <v/>
      </c>
      <c r="O291" s="17"/>
    </row>
    <row r="292" spans="1:15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8"/>
      <c r="L292" s="16"/>
      <c r="M292" s="16"/>
      <c r="N292" s="19" t="str">
        <f>IF(A292="","",IF(K292="",IFERROR(INDEX(Products!$S$3:$S$302,MATCH(A292,Products!$A$3:$A$302,0)),"Product not found"),K292-IF(L292="Percentage",ROUND(K292*N(M292)/100,2),IF(L292="Fixed amount",N(M292),0))))</f>
        <v/>
      </c>
      <c r="O292" s="17"/>
    </row>
    <row r="293" spans="1:15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8"/>
      <c r="L293" s="16"/>
      <c r="M293" s="16"/>
      <c r="N293" s="19" t="str">
        <f>IF(A293="","",IF(K293="",IFERROR(INDEX(Products!$S$3:$S$302,MATCH(A293,Products!$A$3:$A$302,0)),"Product not found"),K293-IF(L293="Percentage",ROUND(K293*N(M293)/100,2),IF(L293="Fixed amount",N(M293),0))))</f>
        <v/>
      </c>
      <c r="O293" s="17"/>
    </row>
    <row r="294" spans="1:15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8"/>
      <c r="L294" s="16"/>
      <c r="M294" s="16"/>
      <c r="N294" s="19" t="str">
        <f>IF(A294="","",IF(K294="",IFERROR(INDEX(Products!$S$3:$S$302,MATCH(A294,Products!$A$3:$A$302,0)),"Product not found"),K294-IF(L294="Percentage",ROUND(K294*N(M294)/100,2),IF(L294="Fixed amount",N(M294),0))))</f>
        <v/>
      </c>
      <c r="O294" s="17"/>
    </row>
    <row r="295" spans="1:15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8"/>
      <c r="L295" s="16"/>
      <c r="M295" s="16"/>
      <c r="N295" s="19" t="str">
        <f>IF(A295="","",IF(K295="",IFERROR(INDEX(Products!$S$3:$S$302,MATCH(A295,Products!$A$3:$A$302,0)),"Product not found"),K295-IF(L295="Percentage",ROUND(K295*N(M295)/100,2),IF(L295="Fixed amount",N(M295),0))))</f>
        <v/>
      </c>
      <c r="O295" s="17"/>
    </row>
    <row r="296" spans="1:15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8"/>
      <c r="L296" s="16"/>
      <c r="M296" s="16"/>
      <c r="N296" s="19" t="str">
        <f>IF(A296="","",IF(K296="",IFERROR(INDEX(Products!$S$3:$S$302,MATCH(A296,Products!$A$3:$A$302,0)),"Product not found"),K296-IF(L296="Percentage",ROUND(K296*N(M296)/100,2),IF(L296="Fixed amount",N(M296),0))))</f>
        <v/>
      </c>
      <c r="O296" s="17"/>
    </row>
    <row r="297" spans="1:15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8"/>
      <c r="L297" s="16"/>
      <c r="M297" s="16"/>
      <c r="N297" s="19" t="str">
        <f>IF(A297="","",IF(K297="",IFERROR(INDEX(Products!$S$3:$S$302,MATCH(A297,Products!$A$3:$A$302,0)),"Product not found"),K297-IF(L297="Percentage",ROUND(K297*N(M297)/100,2),IF(L297="Fixed amount",N(M297),0))))</f>
        <v/>
      </c>
      <c r="O297" s="17"/>
    </row>
    <row r="298" spans="1:15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8"/>
      <c r="L298" s="16"/>
      <c r="M298" s="16"/>
      <c r="N298" s="19" t="str">
        <f>IF(A298="","",IF(K298="",IFERROR(INDEX(Products!$S$3:$S$302,MATCH(A298,Products!$A$3:$A$302,0)),"Product not found"),K298-IF(L298="Percentage",ROUND(K298*N(M298)/100,2),IF(L298="Fixed amount",N(M298),0))))</f>
        <v/>
      </c>
      <c r="O298" s="17"/>
    </row>
    <row r="299" spans="1:15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8"/>
      <c r="L299" s="16"/>
      <c r="M299" s="16"/>
      <c r="N299" s="19" t="str">
        <f>IF(A299="","",IF(K299="",IFERROR(INDEX(Products!$S$3:$S$302,MATCH(A299,Products!$A$3:$A$302,0)),"Product not found"),K299-IF(L299="Percentage",ROUND(K299*N(M299)/100,2),IF(L299="Fixed amount",N(M299),0))))</f>
        <v/>
      </c>
      <c r="O299" s="17"/>
    </row>
    <row r="300" spans="1:15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8"/>
      <c r="L300" s="16"/>
      <c r="M300" s="16"/>
      <c r="N300" s="19" t="str">
        <f>IF(A300="","",IF(K300="",IFERROR(INDEX(Products!$S$3:$S$302,MATCH(A300,Products!$A$3:$A$302,0)),"Product not found"),K300-IF(L300="Percentage",ROUND(K300*N(M300)/100,2),IF(L300="Fixed amount",N(M300),0))))</f>
        <v/>
      </c>
      <c r="O300" s="17"/>
    </row>
    <row r="301" spans="1:15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8"/>
      <c r="L301" s="16"/>
      <c r="M301" s="16"/>
      <c r="N301" s="19" t="str">
        <f>IF(A301="","",IF(K301="",IFERROR(INDEX(Products!$S$3:$S$302,MATCH(A301,Products!$A$3:$A$302,0)),"Product not found"),K301-IF(L301="Percentage",ROUND(K301*N(M301)/100,2),IF(L301="Fixed amount",N(M301),0))))</f>
        <v/>
      </c>
      <c r="O301" s="17"/>
    </row>
    <row r="302" spans="1:15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8"/>
      <c r="L302" s="16"/>
      <c r="M302" s="16"/>
      <c r="N302" s="19" t="str">
        <f>IF(A302="","",IF(K302="",IFERROR(INDEX(Products!$S$3:$S$302,MATCH(A302,Products!$A$3:$A$302,0)),"Product not found"),K302-IF(L302="Percentage",ROUND(K302*N(M302)/100,2),IF(L302="Fixed amount",N(M302),0))))</f>
        <v/>
      </c>
      <c r="O302" s="17"/>
    </row>
    <row r="303" spans="1:15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8"/>
      <c r="L303" s="16"/>
      <c r="M303" s="16"/>
      <c r="N303" s="19" t="str">
        <f>IF(A303="","",IF(K303="",IFERROR(INDEX(Products!$S$3:$S$302,MATCH(A303,Products!$A$3:$A$302,0)),"Product not found"),K303-IF(L303="Percentage",ROUND(K303*N(M303)/100,2),IF(L303="Fixed amount",N(M303),0))))</f>
        <v/>
      </c>
      <c r="O303" s="17"/>
    </row>
    <row r="304" spans="1:15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8"/>
      <c r="L304" s="16"/>
      <c r="M304" s="16"/>
      <c r="N304" s="19" t="str">
        <f>IF(A304="","",IF(K304="",IFERROR(INDEX(Products!$S$3:$S$302,MATCH(A304,Products!$A$3:$A$302,0)),"Product not found"),K304-IF(L304="Percentage",ROUND(K304*N(M304)/100,2),IF(L304="Fixed amount",N(M304),0))))</f>
        <v/>
      </c>
      <c r="O304" s="17"/>
    </row>
    <row r="305" spans="1:15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8"/>
      <c r="L305" s="16"/>
      <c r="M305" s="16"/>
      <c r="N305" s="19" t="str">
        <f>IF(A305="","",IF(K305="",IFERROR(INDEX(Products!$S$3:$S$302,MATCH(A305,Products!$A$3:$A$302,0)),"Product not found"),K305-IF(L305="Percentage",ROUND(K305*N(M305)/100,2),IF(L305="Fixed amount",N(M305),0))))</f>
        <v/>
      </c>
      <c r="O305" s="17"/>
    </row>
    <row r="306" spans="1:15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8"/>
      <c r="L306" s="16"/>
      <c r="M306" s="16"/>
      <c r="N306" s="19" t="str">
        <f>IF(A306="","",IF(K306="",IFERROR(INDEX(Products!$S$3:$S$302,MATCH(A306,Products!$A$3:$A$302,0)),"Product not found"),K306-IF(L306="Percentage",ROUND(K306*N(M306)/100,2),IF(L306="Fixed amount",N(M306),0))))</f>
        <v/>
      </c>
      <c r="O306" s="17"/>
    </row>
    <row r="307" spans="1:15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8"/>
      <c r="L307" s="16"/>
      <c r="M307" s="16"/>
      <c r="N307" s="19" t="str">
        <f>IF(A307="","",IF(K307="",IFERROR(INDEX(Products!$S$3:$S$302,MATCH(A307,Products!$A$3:$A$302,0)),"Product not found"),K307-IF(L307="Percentage",ROUND(K307*N(M307)/100,2),IF(L307="Fixed amount",N(M307),0))))</f>
        <v/>
      </c>
      <c r="O307" s="17"/>
    </row>
    <row r="308" spans="1:15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8"/>
      <c r="L308" s="16"/>
      <c r="M308" s="16"/>
      <c r="N308" s="19" t="str">
        <f>IF(A308="","",IF(K308="",IFERROR(INDEX(Products!$S$3:$S$302,MATCH(A308,Products!$A$3:$A$302,0)),"Product not found"),K308-IF(L308="Percentage",ROUND(K308*N(M308)/100,2),IF(L308="Fixed amount",N(M308),0))))</f>
        <v/>
      </c>
      <c r="O308" s="17"/>
    </row>
    <row r="309" spans="1:15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8"/>
      <c r="L309" s="16"/>
      <c r="M309" s="16"/>
      <c r="N309" s="19" t="str">
        <f>IF(A309="","",IF(K309="",IFERROR(INDEX(Products!$S$3:$S$302,MATCH(A309,Products!$A$3:$A$302,0)),"Product not found"),K309-IF(L309="Percentage",ROUND(K309*N(M309)/100,2),IF(L309="Fixed amount",N(M309),0))))</f>
        <v/>
      </c>
      <c r="O309" s="17"/>
    </row>
    <row r="310" spans="1:15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8"/>
      <c r="L310" s="16"/>
      <c r="M310" s="16"/>
      <c r="N310" s="19" t="str">
        <f>IF(A310="","",IF(K310="",IFERROR(INDEX(Products!$S$3:$S$302,MATCH(A310,Products!$A$3:$A$302,0)),"Product not found"),K310-IF(L310="Percentage",ROUND(K310*N(M310)/100,2),IF(L310="Fixed amount",N(M310),0))))</f>
        <v/>
      </c>
      <c r="O310" s="17"/>
    </row>
    <row r="311" spans="1:15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8"/>
      <c r="L311" s="16"/>
      <c r="M311" s="16"/>
      <c r="N311" s="19" t="str">
        <f>IF(A311="","",IF(K311="",IFERROR(INDEX(Products!$S$3:$S$302,MATCH(A311,Products!$A$3:$A$302,0)),"Product not found"),K311-IF(L311="Percentage",ROUND(K311*N(M311)/100,2),IF(L311="Fixed amount",N(M311),0))))</f>
        <v/>
      </c>
      <c r="O311" s="17"/>
    </row>
    <row r="312" spans="1:15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8"/>
      <c r="L312" s="16"/>
      <c r="M312" s="16"/>
      <c r="N312" s="19" t="str">
        <f>IF(A312="","",IF(K312="",IFERROR(INDEX(Products!$S$3:$S$302,MATCH(A312,Products!$A$3:$A$302,0)),"Product not found"),K312-IF(L312="Percentage",ROUND(K312*N(M312)/100,2),IF(L312="Fixed amount",N(M312),0))))</f>
        <v/>
      </c>
      <c r="O312" s="17"/>
    </row>
    <row r="313" spans="1:15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8"/>
      <c r="L313" s="16"/>
      <c r="M313" s="16"/>
      <c r="N313" s="19" t="str">
        <f>IF(A313="","",IF(K313="",IFERROR(INDEX(Products!$S$3:$S$302,MATCH(A313,Products!$A$3:$A$302,0)),"Product not found"),K313-IF(L313="Percentage",ROUND(K313*N(M313)/100,2),IF(L313="Fixed amount",N(M313),0))))</f>
        <v/>
      </c>
      <c r="O313" s="17"/>
    </row>
    <row r="314" spans="1:15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8"/>
      <c r="L314" s="16"/>
      <c r="M314" s="16"/>
      <c r="N314" s="19" t="str">
        <f>IF(A314="","",IF(K314="",IFERROR(INDEX(Products!$S$3:$S$302,MATCH(A314,Products!$A$3:$A$302,0)),"Product not found"),K314-IF(L314="Percentage",ROUND(K314*N(M314)/100,2),IF(L314="Fixed amount",N(M314),0))))</f>
        <v/>
      </c>
      <c r="O314" s="17"/>
    </row>
    <row r="315" spans="1:15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8"/>
      <c r="L315" s="16"/>
      <c r="M315" s="16"/>
      <c r="N315" s="19" t="str">
        <f>IF(A315="","",IF(K315="",IFERROR(INDEX(Products!$S$3:$S$302,MATCH(A315,Products!$A$3:$A$302,0)),"Product not found"),K315-IF(L315="Percentage",ROUND(K315*N(M315)/100,2),IF(L315="Fixed amount",N(M315),0))))</f>
        <v/>
      </c>
      <c r="O315" s="17"/>
    </row>
    <row r="316" spans="1:15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8"/>
      <c r="L316" s="16"/>
      <c r="M316" s="16"/>
      <c r="N316" s="19" t="str">
        <f>IF(A316="","",IF(K316="",IFERROR(INDEX(Products!$S$3:$S$302,MATCH(A316,Products!$A$3:$A$302,0)),"Product not found"),K316-IF(L316="Percentage",ROUND(K316*N(M316)/100,2),IF(L316="Fixed amount",N(M316),0))))</f>
        <v/>
      </c>
      <c r="O316" s="17"/>
    </row>
    <row r="317" spans="1:15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8"/>
      <c r="L317" s="16"/>
      <c r="M317" s="16"/>
      <c r="N317" s="19" t="str">
        <f>IF(A317="","",IF(K317="",IFERROR(INDEX(Products!$S$3:$S$302,MATCH(A317,Products!$A$3:$A$302,0)),"Product not found"),K317-IF(L317="Percentage",ROUND(K317*N(M317)/100,2),IF(L317="Fixed amount",N(M317),0))))</f>
        <v/>
      </c>
      <c r="O317" s="17"/>
    </row>
    <row r="318" spans="1:15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8"/>
      <c r="L318" s="16"/>
      <c r="M318" s="16"/>
      <c r="N318" s="19" t="str">
        <f>IF(A318="","",IF(K318="",IFERROR(INDEX(Products!$S$3:$S$302,MATCH(A318,Products!$A$3:$A$302,0)),"Product not found"),K318-IF(L318="Percentage",ROUND(K318*N(M318)/100,2),IF(L318="Fixed amount",N(M318),0))))</f>
        <v/>
      </c>
      <c r="O318" s="17"/>
    </row>
    <row r="319" spans="1:15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8"/>
      <c r="L319" s="16"/>
      <c r="M319" s="16"/>
      <c r="N319" s="19" t="str">
        <f>IF(A319="","",IF(K319="",IFERROR(INDEX(Products!$S$3:$S$302,MATCH(A319,Products!$A$3:$A$302,0)),"Product not found"),K319-IF(L319="Percentage",ROUND(K319*N(M319)/100,2),IF(L319="Fixed amount",N(M319),0))))</f>
        <v/>
      </c>
      <c r="O319" s="17"/>
    </row>
    <row r="320" spans="1:15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8"/>
      <c r="L320" s="16"/>
      <c r="M320" s="16"/>
      <c r="N320" s="19" t="str">
        <f>IF(A320="","",IF(K320="",IFERROR(INDEX(Products!$S$3:$S$302,MATCH(A320,Products!$A$3:$A$302,0)),"Product not found"),K320-IF(L320="Percentage",ROUND(K320*N(M320)/100,2),IF(L320="Fixed amount",N(M320),0))))</f>
        <v/>
      </c>
      <c r="O320" s="17"/>
    </row>
    <row r="321" spans="1:15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8"/>
      <c r="L321" s="16"/>
      <c r="M321" s="16"/>
      <c r="N321" s="19" t="str">
        <f>IF(A321="","",IF(K321="",IFERROR(INDEX(Products!$S$3:$S$302,MATCH(A321,Products!$A$3:$A$302,0)),"Product not found"),K321-IF(L321="Percentage",ROUND(K321*N(M321)/100,2),IF(L321="Fixed amount",N(M321),0))))</f>
        <v/>
      </c>
      <c r="O321" s="17"/>
    </row>
    <row r="322" spans="1:15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8"/>
      <c r="L322" s="16"/>
      <c r="M322" s="16"/>
      <c r="N322" s="19" t="str">
        <f>IF(A322="","",IF(K322="",IFERROR(INDEX(Products!$S$3:$S$302,MATCH(A322,Products!$A$3:$A$302,0)),"Product not found"),K322-IF(L322="Percentage",ROUND(K322*N(M322)/100,2),IF(L322="Fixed amount",N(M322),0))))</f>
        <v/>
      </c>
      <c r="O322" s="17"/>
    </row>
    <row r="323" spans="1:15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8"/>
      <c r="L323" s="16"/>
      <c r="M323" s="16"/>
      <c r="N323" s="19" t="str">
        <f>IF(A323="","",IF(K323="",IFERROR(INDEX(Products!$S$3:$S$302,MATCH(A323,Products!$A$3:$A$302,0)),"Product not found"),K323-IF(L323="Percentage",ROUND(K323*N(M323)/100,2),IF(L323="Fixed amount",N(M323),0))))</f>
        <v/>
      </c>
      <c r="O323" s="17"/>
    </row>
    <row r="324" spans="1:15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8"/>
      <c r="L324" s="16"/>
      <c r="M324" s="16"/>
      <c r="N324" s="19" t="str">
        <f>IF(A324="","",IF(K324="",IFERROR(INDEX(Products!$S$3:$S$302,MATCH(A324,Products!$A$3:$A$302,0)),"Product not found"),K324-IF(L324="Percentage",ROUND(K324*N(M324)/100,2),IF(L324="Fixed amount",N(M324),0))))</f>
        <v/>
      </c>
      <c r="O324" s="17"/>
    </row>
    <row r="325" spans="1:15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8"/>
      <c r="L325" s="16"/>
      <c r="M325" s="16"/>
      <c r="N325" s="19" t="str">
        <f>IF(A325="","",IF(K325="",IFERROR(INDEX(Products!$S$3:$S$302,MATCH(A325,Products!$A$3:$A$302,0)),"Product not found"),K325-IF(L325="Percentage",ROUND(K325*N(M325)/100,2),IF(L325="Fixed amount",N(M325),0))))</f>
        <v/>
      </c>
      <c r="O325" s="17"/>
    </row>
    <row r="326" spans="1:15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8"/>
      <c r="L326" s="16"/>
      <c r="M326" s="16"/>
      <c r="N326" s="19" t="str">
        <f>IF(A326="","",IF(K326="",IFERROR(INDEX(Products!$S$3:$S$302,MATCH(A326,Products!$A$3:$A$302,0)),"Product not found"),K326-IF(L326="Percentage",ROUND(K326*N(M326)/100,2),IF(L326="Fixed amount",N(M326),0))))</f>
        <v/>
      </c>
      <c r="O326" s="17"/>
    </row>
    <row r="327" spans="1:15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8"/>
      <c r="L327" s="16"/>
      <c r="M327" s="16"/>
      <c r="N327" s="19" t="str">
        <f>IF(A327="","",IF(K327="",IFERROR(INDEX(Products!$S$3:$S$302,MATCH(A327,Products!$A$3:$A$302,0)),"Product not found"),K327-IF(L327="Percentage",ROUND(K327*N(M327)/100,2),IF(L327="Fixed amount",N(M327),0))))</f>
        <v/>
      </c>
      <c r="O327" s="17"/>
    </row>
    <row r="328" spans="1:15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8"/>
      <c r="L328" s="16"/>
      <c r="M328" s="16"/>
      <c r="N328" s="19" t="str">
        <f>IF(A328="","",IF(K328="",IFERROR(INDEX(Products!$S$3:$S$302,MATCH(A328,Products!$A$3:$A$302,0)),"Product not found"),K328-IF(L328="Percentage",ROUND(K328*N(M328)/100,2),IF(L328="Fixed amount",N(M328),0))))</f>
        <v/>
      </c>
      <c r="O328" s="17"/>
    </row>
    <row r="329" spans="1:15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8"/>
      <c r="L329" s="16"/>
      <c r="M329" s="16"/>
      <c r="N329" s="19" t="str">
        <f>IF(A329="","",IF(K329="",IFERROR(INDEX(Products!$S$3:$S$302,MATCH(A329,Products!$A$3:$A$302,0)),"Product not found"),K329-IF(L329="Percentage",ROUND(K329*N(M329)/100,2),IF(L329="Fixed amount",N(M329),0))))</f>
        <v/>
      </c>
      <c r="O329" s="17"/>
    </row>
    <row r="330" spans="1:15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8"/>
      <c r="L330" s="16"/>
      <c r="M330" s="16"/>
      <c r="N330" s="19" t="str">
        <f>IF(A330="","",IF(K330="",IFERROR(INDEX(Products!$S$3:$S$302,MATCH(A330,Products!$A$3:$A$302,0)),"Product not found"),K330-IF(L330="Percentage",ROUND(K330*N(M330)/100,2),IF(L330="Fixed amount",N(M330),0))))</f>
        <v/>
      </c>
      <c r="O330" s="17"/>
    </row>
    <row r="331" spans="1:15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8"/>
      <c r="L331" s="16"/>
      <c r="M331" s="16"/>
      <c r="N331" s="19" t="str">
        <f>IF(A331="","",IF(K331="",IFERROR(INDEX(Products!$S$3:$S$302,MATCH(A331,Products!$A$3:$A$302,0)),"Product not found"),K331-IF(L331="Percentage",ROUND(K331*N(M331)/100,2),IF(L331="Fixed amount",N(M331),0))))</f>
        <v/>
      </c>
      <c r="O331" s="17"/>
    </row>
    <row r="332" spans="1:15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8"/>
      <c r="L332" s="16"/>
      <c r="M332" s="16"/>
      <c r="N332" s="19" t="str">
        <f>IF(A332="","",IF(K332="",IFERROR(INDEX(Products!$S$3:$S$302,MATCH(A332,Products!$A$3:$A$302,0)),"Product not found"),K332-IF(L332="Percentage",ROUND(K332*N(M332)/100,2),IF(L332="Fixed amount",N(M332),0))))</f>
        <v/>
      </c>
      <c r="O332" s="17"/>
    </row>
    <row r="333" spans="1:15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8"/>
      <c r="L333" s="16"/>
      <c r="M333" s="16"/>
      <c r="N333" s="19" t="str">
        <f>IF(A333="","",IF(K333="",IFERROR(INDEX(Products!$S$3:$S$302,MATCH(A333,Products!$A$3:$A$302,0)),"Product not found"),K333-IF(L333="Percentage",ROUND(K333*N(M333)/100,2),IF(L333="Fixed amount",N(M333),0))))</f>
        <v/>
      </c>
      <c r="O333" s="17"/>
    </row>
    <row r="334" spans="1:15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8"/>
      <c r="L334" s="16"/>
      <c r="M334" s="16"/>
      <c r="N334" s="19" t="str">
        <f>IF(A334="","",IF(K334="",IFERROR(INDEX(Products!$S$3:$S$302,MATCH(A334,Products!$A$3:$A$302,0)),"Product not found"),K334-IF(L334="Percentage",ROUND(K334*N(M334)/100,2),IF(L334="Fixed amount",N(M334),0))))</f>
        <v/>
      </c>
      <c r="O334" s="17"/>
    </row>
    <row r="335" spans="1:15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8"/>
      <c r="L335" s="16"/>
      <c r="M335" s="16"/>
      <c r="N335" s="19" t="str">
        <f>IF(A335="","",IF(K335="",IFERROR(INDEX(Products!$S$3:$S$302,MATCH(A335,Products!$A$3:$A$302,0)),"Product not found"),K335-IF(L335="Percentage",ROUND(K335*N(M335)/100,2),IF(L335="Fixed amount",N(M335),0))))</f>
        <v/>
      </c>
      <c r="O335" s="17"/>
    </row>
    <row r="336" spans="1:15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8"/>
      <c r="L336" s="16"/>
      <c r="M336" s="16"/>
      <c r="N336" s="19" t="str">
        <f>IF(A336="","",IF(K336="",IFERROR(INDEX(Products!$S$3:$S$302,MATCH(A336,Products!$A$3:$A$302,0)),"Product not found"),K336-IF(L336="Percentage",ROUND(K336*N(M336)/100,2),IF(L336="Fixed amount",N(M336),0))))</f>
        <v/>
      </c>
      <c r="O336" s="17"/>
    </row>
    <row r="337" spans="1:15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8"/>
      <c r="L337" s="16"/>
      <c r="M337" s="16"/>
      <c r="N337" s="19" t="str">
        <f>IF(A337="","",IF(K337="",IFERROR(INDEX(Products!$S$3:$S$302,MATCH(A337,Products!$A$3:$A$302,0)),"Product not found"),K337-IF(L337="Percentage",ROUND(K337*N(M337)/100,2),IF(L337="Fixed amount",N(M337),0))))</f>
        <v/>
      </c>
      <c r="O337" s="17"/>
    </row>
    <row r="338" spans="1:15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8"/>
      <c r="L338" s="16"/>
      <c r="M338" s="16"/>
      <c r="N338" s="19" t="str">
        <f>IF(A338="","",IF(K338="",IFERROR(INDEX(Products!$S$3:$S$302,MATCH(A338,Products!$A$3:$A$302,0)),"Product not found"),K338-IF(L338="Percentage",ROUND(K338*N(M338)/100,2),IF(L338="Fixed amount",N(M338),0))))</f>
        <v/>
      </c>
      <c r="O338" s="17"/>
    </row>
    <row r="339" spans="1:15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8"/>
      <c r="L339" s="16"/>
      <c r="M339" s="16"/>
      <c r="N339" s="19" t="str">
        <f>IF(A339="","",IF(K339="",IFERROR(INDEX(Products!$S$3:$S$302,MATCH(A339,Products!$A$3:$A$302,0)),"Product not found"),K339-IF(L339="Percentage",ROUND(K339*N(M339)/100,2),IF(L339="Fixed amount",N(M339),0))))</f>
        <v/>
      </c>
      <c r="O339" s="17"/>
    </row>
    <row r="340" spans="1:15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8"/>
      <c r="L340" s="16"/>
      <c r="M340" s="16"/>
      <c r="N340" s="19" t="str">
        <f>IF(A340="","",IF(K340="",IFERROR(INDEX(Products!$S$3:$S$302,MATCH(A340,Products!$A$3:$A$302,0)),"Product not found"),K340-IF(L340="Percentage",ROUND(K340*N(M340)/100,2),IF(L340="Fixed amount",N(M340),0))))</f>
        <v/>
      </c>
      <c r="O340" s="17"/>
    </row>
    <row r="341" spans="1:15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8"/>
      <c r="L341" s="16"/>
      <c r="M341" s="16"/>
      <c r="N341" s="19" t="str">
        <f>IF(A341="","",IF(K341="",IFERROR(INDEX(Products!$S$3:$S$302,MATCH(A341,Products!$A$3:$A$302,0)),"Product not found"),K341-IF(L341="Percentage",ROUND(K341*N(M341)/100,2),IF(L341="Fixed amount",N(M341),0))))</f>
        <v/>
      </c>
      <c r="O341" s="17"/>
    </row>
    <row r="342" spans="1:15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8"/>
      <c r="L342" s="16"/>
      <c r="M342" s="16"/>
      <c r="N342" s="19" t="str">
        <f>IF(A342="","",IF(K342="",IFERROR(INDEX(Products!$S$3:$S$302,MATCH(A342,Products!$A$3:$A$302,0)),"Product not found"),K342-IF(L342="Percentage",ROUND(K342*N(M342)/100,2),IF(L342="Fixed amount",N(M342),0))))</f>
        <v/>
      </c>
      <c r="O342" s="17"/>
    </row>
    <row r="343" spans="1:15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8"/>
      <c r="L343" s="16"/>
      <c r="M343" s="16"/>
      <c r="N343" s="19" t="str">
        <f>IF(A343="","",IF(K343="",IFERROR(INDEX(Products!$S$3:$S$302,MATCH(A343,Products!$A$3:$A$302,0)),"Product not found"),K343-IF(L343="Percentage",ROUND(K343*N(M343)/100,2),IF(L343="Fixed amount",N(M343),0))))</f>
        <v/>
      </c>
      <c r="O343" s="17"/>
    </row>
    <row r="344" spans="1:15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8"/>
      <c r="L344" s="16"/>
      <c r="M344" s="16"/>
      <c r="N344" s="19" t="str">
        <f>IF(A344="","",IF(K344="",IFERROR(INDEX(Products!$S$3:$S$302,MATCH(A344,Products!$A$3:$A$302,0)),"Product not found"),K344-IF(L344="Percentage",ROUND(K344*N(M344)/100,2),IF(L344="Fixed amount",N(M344),0))))</f>
        <v/>
      </c>
      <c r="O344" s="17"/>
    </row>
    <row r="345" spans="1:15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8"/>
      <c r="L345" s="16"/>
      <c r="M345" s="16"/>
      <c r="N345" s="19" t="str">
        <f>IF(A345="","",IF(K345="",IFERROR(INDEX(Products!$S$3:$S$302,MATCH(A345,Products!$A$3:$A$302,0)),"Product not found"),K345-IF(L345="Percentage",ROUND(K345*N(M345)/100,2),IF(L345="Fixed amount",N(M345),0))))</f>
        <v/>
      </c>
      <c r="O345" s="17"/>
    </row>
    <row r="346" spans="1:15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8"/>
      <c r="L346" s="16"/>
      <c r="M346" s="16"/>
      <c r="N346" s="19" t="str">
        <f>IF(A346="","",IF(K346="",IFERROR(INDEX(Products!$S$3:$S$302,MATCH(A346,Products!$A$3:$A$302,0)),"Product not found"),K346-IF(L346="Percentage",ROUND(K346*N(M346)/100,2),IF(L346="Fixed amount",N(M346),0))))</f>
        <v/>
      </c>
      <c r="O346" s="17"/>
    </row>
    <row r="347" spans="1:15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8"/>
      <c r="L347" s="16"/>
      <c r="M347" s="16"/>
      <c r="N347" s="19" t="str">
        <f>IF(A347="","",IF(K347="",IFERROR(INDEX(Products!$S$3:$S$302,MATCH(A347,Products!$A$3:$A$302,0)),"Product not found"),K347-IF(L347="Percentage",ROUND(K347*N(M347)/100,2),IF(L347="Fixed amount",N(M347),0))))</f>
        <v/>
      </c>
      <c r="O347" s="17"/>
    </row>
    <row r="348" spans="1:15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8"/>
      <c r="L348" s="16"/>
      <c r="M348" s="16"/>
      <c r="N348" s="19" t="str">
        <f>IF(A348="","",IF(K348="",IFERROR(INDEX(Products!$S$3:$S$302,MATCH(A348,Products!$A$3:$A$302,0)),"Product not found"),K348-IF(L348="Percentage",ROUND(K348*N(M348)/100,2),IF(L348="Fixed amount",N(M348),0))))</f>
        <v/>
      </c>
      <c r="O348" s="17"/>
    </row>
    <row r="349" spans="1:15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8"/>
      <c r="L349" s="16"/>
      <c r="M349" s="16"/>
      <c r="N349" s="19" t="str">
        <f>IF(A349="","",IF(K349="",IFERROR(INDEX(Products!$S$3:$S$302,MATCH(A349,Products!$A$3:$A$302,0)),"Product not found"),K349-IF(L349="Percentage",ROUND(K349*N(M349)/100,2),IF(L349="Fixed amount",N(M349),0))))</f>
        <v/>
      </c>
      <c r="O349" s="17"/>
    </row>
    <row r="350" spans="1:15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8"/>
      <c r="L350" s="16"/>
      <c r="M350" s="16"/>
      <c r="N350" s="19" t="str">
        <f>IF(A350="","",IF(K350="",IFERROR(INDEX(Products!$S$3:$S$302,MATCH(A350,Products!$A$3:$A$302,0)),"Product not found"),K350-IF(L350="Percentage",ROUND(K350*N(M350)/100,2),IF(L350="Fixed amount",N(M350),0))))</f>
        <v/>
      </c>
      <c r="O350" s="17"/>
    </row>
    <row r="351" spans="1:15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8"/>
      <c r="L351" s="16"/>
      <c r="M351" s="16"/>
      <c r="N351" s="19" t="str">
        <f>IF(A351="","",IF(K351="",IFERROR(INDEX(Products!$S$3:$S$302,MATCH(A351,Products!$A$3:$A$302,0)),"Product not found"),K351-IF(L351="Percentage",ROUND(K351*N(M351)/100,2),IF(L351="Fixed amount",N(M351),0))))</f>
        <v/>
      </c>
      <c r="O351" s="17"/>
    </row>
    <row r="352" spans="1:15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8"/>
      <c r="L352" s="16"/>
      <c r="M352" s="16"/>
      <c r="N352" s="19" t="str">
        <f>IF(A352="","",IF(K352="",IFERROR(INDEX(Products!$S$3:$S$302,MATCH(A352,Products!$A$3:$A$302,0)),"Product not found"),K352-IF(L352="Percentage",ROUND(K352*N(M352)/100,2),IF(L352="Fixed amount",N(M352),0))))</f>
        <v/>
      </c>
      <c r="O352" s="17"/>
    </row>
    <row r="353" spans="1:15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8"/>
      <c r="L353" s="16"/>
      <c r="M353" s="16"/>
      <c r="N353" s="19" t="str">
        <f>IF(A353="","",IF(K353="",IFERROR(INDEX(Products!$S$3:$S$302,MATCH(A353,Products!$A$3:$A$302,0)),"Product not found"),K353-IF(L353="Percentage",ROUND(K353*N(M353)/100,2),IF(L353="Fixed amount",N(M353),0))))</f>
        <v/>
      </c>
      <c r="O353" s="17"/>
    </row>
    <row r="354" spans="1:15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8"/>
      <c r="L354" s="16"/>
      <c r="M354" s="16"/>
      <c r="N354" s="19" t="str">
        <f>IF(A354="","",IF(K354="",IFERROR(INDEX(Products!$S$3:$S$302,MATCH(A354,Products!$A$3:$A$302,0)),"Product not found"),K354-IF(L354="Percentage",ROUND(K354*N(M354)/100,2),IF(L354="Fixed amount",N(M354),0))))</f>
        <v/>
      </c>
      <c r="O354" s="17"/>
    </row>
    <row r="355" spans="1:15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8"/>
      <c r="L355" s="16"/>
      <c r="M355" s="16"/>
      <c r="N355" s="19" t="str">
        <f>IF(A355="","",IF(K355="",IFERROR(INDEX(Products!$S$3:$S$302,MATCH(A355,Products!$A$3:$A$302,0)),"Product not found"),K355-IF(L355="Percentage",ROUND(K355*N(M355)/100,2),IF(L355="Fixed amount",N(M355),0))))</f>
        <v/>
      </c>
      <c r="O355" s="17"/>
    </row>
    <row r="356" spans="1:15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8"/>
      <c r="L356" s="16"/>
      <c r="M356" s="16"/>
      <c r="N356" s="19" t="str">
        <f>IF(A356="","",IF(K356="",IFERROR(INDEX(Products!$S$3:$S$302,MATCH(A356,Products!$A$3:$A$302,0)),"Product not found"),K356-IF(L356="Percentage",ROUND(K356*N(M356)/100,2),IF(L356="Fixed amount",N(M356),0))))</f>
        <v/>
      </c>
      <c r="O356" s="17"/>
    </row>
    <row r="357" spans="1:15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8"/>
      <c r="L357" s="16"/>
      <c r="M357" s="16"/>
      <c r="N357" s="19" t="str">
        <f>IF(A357="","",IF(K357="",IFERROR(INDEX(Products!$S$3:$S$302,MATCH(A357,Products!$A$3:$A$302,0)),"Product not found"),K357-IF(L357="Percentage",ROUND(K357*N(M357)/100,2),IF(L357="Fixed amount",N(M357),0))))</f>
        <v/>
      </c>
      <c r="O357" s="17"/>
    </row>
    <row r="358" spans="1:15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8"/>
      <c r="L358" s="16"/>
      <c r="M358" s="16"/>
      <c r="N358" s="19" t="str">
        <f>IF(A358="","",IF(K358="",IFERROR(INDEX(Products!$S$3:$S$302,MATCH(A358,Products!$A$3:$A$302,0)),"Product not found"),K358-IF(L358="Percentage",ROUND(K358*N(M358)/100,2),IF(L358="Fixed amount",N(M358),0))))</f>
        <v/>
      </c>
      <c r="O358" s="17"/>
    </row>
    <row r="359" spans="1:15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8"/>
      <c r="L359" s="16"/>
      <c r="M359" s="16"/>
      <c r="N359" s="19" t="str">
        <f>IF(A359="","",IF(K359="",IFERROR(INDEX(Products!$S$3:$S$302,MATCH(A359,Products!$A$3:$A$302,0)),"Product not found"),K359-IF(L359="Percentage",ROUND(K359*N(M359)/100,2),IF(L359="Fixed amount",N(M359),0))))</f>
        <v/>
      </c>
      <c r="O359" s="17"/>
    </row>
    <row r="360" spans="1:15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8"/>
      <c r="L360" s="16"/>
      <c r="M360" s="16"/>
      <c r="N360" s="19" t="str">
        <f>IF(A360="","",IF(K360="",IFERROR(INDEX(Products!$S$3:$S$302,MATCH(A360,Products!$A$3:$A$302,0)),"Product not found"),K360-IF(L360="Percentage",ROUND(K360*N(M360)/100,2),IF(L360="Fixed amount",N(M360),0))))</f>
        <v/>
      </c>
      <c r="O360" s="17"/>
    </row>
    <row r="361" spans="1:15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8"/>
      <c r="L361" s="16"/>
      <c r="M361" s="16"/>
      <c r="N361" s="19" t="str">
        <f>IF(A361="","",IF(K361="",IFERROR(INDEX(Products!$S$3:$S$302,MATCH(A361,Products!$A$3:$A$302,0)),"Product not found"),K361-IF(L361="Percentage",ROUND(K361*N(M361)/100,2),IF(L361="Fixed amount",N(M361),0))))</f>
        <v/>
      </c>
      <c r="O361" s="17"/>
    </row>
    <row r="362" spans="1:15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8"/>
      <c r="L362" s="16"/>
      <c r="M362" s="16"/>
      <c r="N362" s="19" t="str">
        <f>IF(A362="","",IF(K362="",IFERROR(INDEX(Products!$S$3:$S$302,MATCH(A362,Products!$A$3:$A$302,0)),"Product not found"),K362-IF(L362="Percentage",ROUND(K362*N(M362)/100,2),IF(L362="Fixed amount",N(M362),0))))</f>
        <v/>
      </c>
      <c r="O362" s="17"/>
    </row>
    <row r="363" spans="1:15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8"/>
      <c r="L363" s="16"/>
      <c r="M363" s="16"/>
      <c r="N363" s="19" t="str">
        <f>IF(A363="","",IF(K363="",IFERROR(INDEX(Products!$S$3:$S$302,MATCH(A363,Products!$A$3:$A$302,0)),"Product not found"),K363-IF(L363="Percentage",ROUND(K363*N(M363)/100,2),IF(L363="Fixed amount",N(M363),0))))</f>
        <v/>
      </c>
      <c r="O363" s="17"/>
    </row>
    <row r="364" spans="1:15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8"/>
      <c r="L364" s="16"/>
      <c r="M364" s="16"/>
      <c r="N364" s="19" t="str">
        <f>IF(A364="","",IF(K364="",IFERROR(INDEX(Products!$S$3:$S$302,MATCH(A364,Products!$A$3:$A$302,0)),"Product not found"),K364-IF(L364="Percentage",ROUND(K364*N(M364)/100,2),IF(L364="Fixed amount",N(M364),0))))</f>
        <v/>
      </c>
      <c r="O364" s="17"/>
    </row>
    <row r="365" spans="1:15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8"/>
      <c r="L365" s="16"/>
      <c r="M365" s="16"/>
      <c r="N365" s="19" t="str">
        <f>IF(A365="","",IF(K365="",IFERROR(INDEX(Products!$S$3:$S$302,MATCH(A365,Products!$A$3:$A$302,0)),"Product not found"),K365-IF(L365="Percentage",ROUND(K365*N(M365)/100,2),IF(L365="Fixed amount",N(M365),0))))</f>
        <v/>
      </c>
      <c r="O365" s="17"/>
    </row>
    <row r="366" spans="1:15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8"/>
      <c r="L366" s="16"/>
      <c r="M366" s="16"/>
      <c r="N366" s="19" t="str">
        <f>IF(A366="","",IF(K366="",IFERROR(INDEX(Products!$S$3:$S$302,MATCH(A366,Products!$A$3:$A$302,0)),"Product not found"),K366-IF(L366="Percentage",ROUND(K366*N(M366)/100,2),IF(L366="Fixed amount",N(M366),0))))</f>
        <v/>
      </c>
      <c r="O366" s="17"/>
    </row>
    <row r="367" spans="1:15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8"/>
      <c r="L367" s="16"/>
      <c r="M367" s="16"/>
      <c r="N367" s="19" t="str">
        <f>IF(A367="","",IF(K367="",IFERROR(INDEX(Products!$S$3:$S$302,MATCH(A367,Products!$A$3:$A$302,0)),"Product not found"),K367-IF(L367="Percentage",ROUND(K367*N(M367)/100,2),IF(L367="Fixed amount",N(M367),0))))</f>
        <v/>
      </c>
      <c r="O367" s="17"/>
    </row>
    <row r="368" spans="1:15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8"/>
      <c r="L368" s="16"/>
      <c r="M368" s="16"/>
      <c r="N368" s="19" t="str">
        <f>IF(A368="","",IF(K368="",IFERROR(INDEX(Products!$S$3:$S$302,MATCH(A368,Products!$A$3:$A$302,0)),"Product not found"),K368-IF(L368="Percentage",ROUND(K368*N(M368)/100,2),IF(L368="Fixed amount",N(M368),0))))</f>
        <v/>
      </c>
      <c r="O368" s="17"/>
    </row>
    <row r="369" spans="1:15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8"/>
      <c r="L369" s="16"/>
      <c r="M369" s="16"/>
      <c r="N369" s="19" t="str">
        <f>IF(A369="","",IF(K369="",IFERROR(INDEX(Products!$S$3:$S$302,MATCH(A369,Products!$A$3:$A$302,0)),"Product not found"),K369-IF(L369="Percentage",ROUND(K369*N(M369)/100,2),IF(L369="Fixed amount",N(M369),0))))</f>
        <v/>
      </c>
      <c r="O369" s="17"/>
    </row>
    <row r="370" spans="1:15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8"/>
      <c r="L370" s="16"/>
      <c r="M370" s="16"/>
      <c r="N370" s="19" t="str">
        <f>IF(A370="","",IF(K370="",IFERROR(INDEX(Products!$S$3:$S$302,MATCH(A370,Products!$A$3:$A$302,0)),"Product not found"),K370-IF(L370="Percentage",ROUND(K370*N(M370)/100,2),IF(L370="Fixed amount",N(M370),0))))</f>
        <v/>
      </c>
      <c r="O370" s="17"/>
    </row>
    <row r="371" spans="1:15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8"/>
      <c r="L371" s="16"/>
      <c r="M371" s="16"/>
      <c r="N371" s="19" t="str">
        <f>IF(A371="","",IF(K371="",IFERROR(INDEX(Products!$S$3:$S$302,MATCH(A371,Products!$A$3:$A$302,0)),"Product not found"),K371-IF(L371="Percentage",ROUND(K371*N(M371)/100,2),IF(L371="Fixed amount",N(M371),0))))</f>
        <v/>
      </c>
      <c r="O371" s="17"/>
    </row>
    <row r="372" spans="1:15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8"/>
      <c r="L372" s="16"/>
      <c r="M372" s="16"/>
      <c r="N372" s="19" t="str">
        <f>IF(A372="","",IF(K372="",IFERROR(INDEX(Products!$S$3:$S$302,MATCH(A372,Products!$A$3:$A$302,0)),"Product not found"),K372-IF(L372="Percentage",ROUND(K372*N(M372)/100,2),IF(L372="Fixed amount",N(M372),0))))</f>
        <v/>
      </c>
      <c r="O372" s="17"/>
    </row>
    <row r="373" spans="1:15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8"/>
      <c r="L373" s="16"/>
      <c r="M373" s="16"/>
      <c r="N373" s="19" t="str">
        <f>IF(A373="","",IF(K373="",IFERROR(INDEX(Products!$S$3:$S$302,MATCH(A373,Products!$A$3:$A$302,0)),"Product not found"),K373-IF(L373="Percentage",ROUND(K373*N(M373)/100,2),IF(L373="Fixed amount",N(M373),0))))</f>
        <v/>
      </c>
      <c r="O373" s="17"/>
    </row>
    <row r="374" spans="1:15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8"/>
      <c r="L374" s="16"/>
      <c r="M374" s="16"/>
      <c r="N374" s="19" t="str">
        <f>IF(A374="","",IF(K374="",IFERROR(INDEX(Products!$S$3:$S$302,MATCH(A374,Products!$A$3:$A$302,0)),"Product not found"),K374-IF(L374="Percentage",ROUND(K374*N(M374)/100,2),IF(L374="Fixed amount",N(M374),0))))</f>
        <v/>
      </c>
      <c r="O374" s="17"/>
    </row>
    <row r="375" spans="1:15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8"/>
      <c r="L375" s="16"/>
      <c r="M375" s="16"/>
      <c r="N375" s="19" t="str">
        <f>IF(A375="","",IF(K375="",IFERROR(INDEX(Products!$S$3:$S$302,MATCH(A375,Products!$A$3:$A$302,0)),"Product not found"),K375-IF(L375="Percentage",ROUND(K375*N(M375)/100,2),IF(L375="Fixed amount",N(M375),0))))</f>
        <v/>
      </c>
      <c r="O375" s="17"/>
    </row>
    <row r="376" spans="1:15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8"/>
      <c r="L376" s="16"/>
      <c r="M376" s="16"/>
      <c r="N376" s="19" t="str">
        <f>IF(A376="","",IF(K376="",IFERROR(INDEX(Products!$S$3:$S$302,MATCH(A376,Products!$A$3:$A$302,0)),"Product not found"),K376-IF(L376="Percentage",ROUND(K376*N(M376)/100,2),IF(L376="Fixed amount",N(M376),0))))</f>
        <v/>
      </c>
      <c r="O376" s="17"/>
    </row>
    <row r="377" spans="1:15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8"/>
      <c r="L377" s="16"/>
      <c r="M377" s="16"/>
      <c r="N377" s="19" t="str">
        <f>IF(A377="","",IF(K377="",IFERROR(INDEX(Products!$S$3:$S$302,MATCH(A377,Products!$A$3:$A$302,0)),"Product not found"),K377-IF(L377="Percentage",ROUND(K377*N(M377)/100,2),IF(L377="Fixed amount",N(M377),0))))</f>
        <v/>
      </c>
      <c r="O377" s="17"/>
    </row>
    <row r="378" spans="1:15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8"/>
      <c r="L378" s="16"/>
      <c r="M378" s="16"/>
      <c r="N378" s="19" t="str">
        <f>IF(A378="","",IF(K378="",IFERROR(INDEX(Products!$S$3:$S$302,MATCH(A378,Products!$A$3:$A$302,0)),"Product not found"),K378-IF(L378="Percentage",ROUND(K378*N(M378)/100,2),IF(L378="Fixed amount",N(M378),0))))</f>
        <v/>
      </c>
      <c r="O378" s="17"/>
    </row>
    <row r="379" spans="1:15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8"/>
      <c r="L379" s="16"/>
      <c r="M379" s="16"/>
      <c r="N379" s="19" t="str">
        <f>IF(A379="","",IF(K379="",IFERROR(INDEX(Products!$S$3:$S$302,MATCH(A379,Products!$A$3:$A$302,0)),"Product not found"),K379-IF(L379="Percentage",ROUND(K379*N(M379)/100,2),IF(L379="Fixed amount",N(M379),0))))</f>
        <v/>
      </c>
      <c r="O379" s="17"/>
    </row>
    <row r="380" spans="1:15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8"/>
      <c r="L380" s="16"/>
      <c r="M380" s="16"/>
      <c r="N380" s="19" t="str">
        <f>IF(A380="","",IF(K380="",IFERROR(INDEX(Products!$S$3:$S$302,MATCH(A380,Products!$A$3:$A$302,0)),"Product not found"),K380-IF(L380="Percentage",ROUND(K380*N(M380)/100,2),IF(L380="Fixed amount",N(M380),0))))</f>
        <v/>
      </c>
      <c r="O380" s="17"/>
    </row>
    <row r="381" spans="1:15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8"/>
      <c r="L381" s="16"/>
      <c r="M381" s="16"/>
      <c r="N381" s="19" t="str">
        <f>IF(A381="","",IF(K381="",IFERROR(INDEX(Products!$S$3:$S$302,MATCH(A381,Products!$A$3:$A$302,0)),"Product not found"),K381-IF(L381="Percentage",ROUND(K381*N(M381)/100,2),IF(L381="Fixed amount",N(M381),0))))</f>
        <v/>
      </c>
      <c r="O381" s="17"/>
    </row>
    <row r="382" spans="1:15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8"/>
      <c r="L382" s="16"/>
      <c r="M382" s="16"/>
      <c r="N382" s="19" t="str">
        <f>IF(A382="","",IF(K382="",IFERROR(INDEX(Products!$S$3:$S$302,MATCH(A382,Products!$A$3:$A$302,0)),"Product not found"),K382-IF(L382="Percentage",ROUND(K382*N(M382)/100,2),IF(L382="Fixed amount",N(M382),0))))</f>
        <v/>
      </c>
      <c r="O382" s="17"/>
    </row>
    <row r="383" spans="1:15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8"/>
      <c r="L383" s="16"/>
      <c r="M383" s="16"/>
      <c r="N383" s="19" t="str">
        <f>IF(A383="","",IF(K383="",IFERROR(INDEX(Products!$S$3:$S$302,MATCH(A383,Products!$A$3:$A$302,0)),"Product not found"),K383-IF(L383="Percentage",ROUND(K383*N(M383)/100,2),IF(L383="Fixed amount",N(M383),0))))</f>
        <v/>
      </c>
      <c r="O383" s="17"/>
    </row>
    <row r="384" spans="1:15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8"/>
      <c r="L384" s="16"/>
      <c r="M384" s="16"/>
      <c r="N384" s="19" t="str">
        <f>IF(A384="","",IF(K384="",IFERROR(INDEX(Products!$S$3:$S$302,MATCH(A384,Products!$A$3:$A$302,0)),"Product not found"),K384-IF(L384="Percentage",ROUND(K384*N(M384)/100,2),IF(L384="Fixed amount",N(M384),0))))</f>
        <v/>
      </c>
      <c r="O384" s="17"/>
    </row>
    <row r="385" spans="1:15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8"/>
      <c r="L385" s="16"/>
      <c r="M385" s="16"/>
      <c r="N385" s="19" t="str">
        <f>IF(A385="","",IF(K385="",IFERROR(INDEX(Products!$S$3:$S$302,MATCH(A385,Products!$A$3:$A$302,0)),"Product not found"),K385-IF(L385="Percentage",ROUND(K385*N(M385)/100,2),IF(L385="Fixed amount",N(M385),0))))</f>
        <v/>
      </c>
      <c r="O385" s="17"/>
    </row>
    <row r="386" spans="1:15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8"/>
      <c r="L386" s="16"/>
      <c r="M386" s="16"/>
      <c r="N386" s="19" t="str">
        <f>IF(A386="","",IF(K386="",IFERROR(INDEX(Products!$S$3:$S$302,MATCH(A386,Products!$A$3:$A$302,0)),"Product not found"),K386-IF(L386="Percentage",ROUND(K386*N(M386)/100,2),IF(L386="Fixed amount",N(M386),0))))</f>
        <v/>
      </c>
      <c r="O386" s="17"/>
    </row>
    <row r="387" spans="1:15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8"/>
      <c r="L387" s="16"/>
      <c r="M387" s="16"/>
      <c r="N387" s="19" t="str">
        <f>IF(A387="","",IF(K387="",IFERROR(INDEX(Products!$S$3:$S$302,MATCH(A387,Products!$A$3:$A$302,0)),"Product not found"),K387-IF(L387="Percentage",ROUND(K387*N(M387)/100,2),IF(L387="Fixed amount",N(M387),0))))</f>
        <v/>
      </c>
      <c r="O387" s="17"/>
    </row>
    <row r="388" spans="1:15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8"/>
      <c r="L388" s="16"/>
      <c r="M388" s="16"/>
      <c r="N388" s="19" t="str">
        <f>IF(A388="","",IF(K388="",IFERROR(INDEX(Products!$S$3:$S$302,MATCH(A388,Products!$A$3:$A$302,0)),"Product not found"),K388-IF(L388="Percentage",ROUND(K388*N(M388)/100,2),IF(L388="Fixed amount",N(M388),0))))</f>
        <v/>
      </c>
      <c r="O388" s="17"/>
    </row>
    <row r="389" spans="1:15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8"/>
      <c r="L389" s="16"/>
      <c r="M389" s="16"/>
      <c r="N389" s="19" t="str">
        <f>IF(A389="","",IF(K389="",IFERROR(INDEX(Products!$S$3:$S$302,MATCH(A389,Products!$A$3:$A$302,0)),"Product not found"),K389-IF(L389="Percentage",ROUND(K389*N(M389)/100,2),IF(L389="Fixed amount",N(M389),0))))</f>
        <v/>
      </c>
      <c r="O389" s="17"/>
    </row>
    <row r="390" spans="1:15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8"/>
      <c r="L390" s="16"/>
      <c r="M390" s="16"/>
      <c r="N390" s="19" t="str">
        <f>IF(A390="","",IF(K390="",IFERROR(INDEX(Products!$S$3:$S$302,MATCH(A390,Products!$A$3:$A$302,0)),"Product not found"),K390-IF(L390="Percentage",ROUND(K390*N(M390)/100,2),IF(L390="Fixed amount",N(M390),0))))</f>
        <v/>
      </c>
      <c r="O390" s="17"/>
    </row>
    <row r="391" spans="1:15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8"/>
      <c r="L391" s="16"/>
      <c r="M391" s="16"/>
      <c r="N391" s="19" t="str">
        <f>IF(A391="","",IF(K391="",IFERROR(INDEX(Products!$S$3:$S$302,MATCH(A391,Products!$A$3:$A$302,0)),"Product not found"),K391-IF(L391="Percentage",ROUND(K391*N(M391)/100,2),IF(L391="Fixed amount",N(M391),0))))</f>
        <v/>
      </c>
      <c r="O391" s="17"/>
    </row>
    <row r="392" spans="1:15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8"/>
      <c r="L392" s="16"/>
      <c r="M392" s="16"/>
      <c r="N392" s="19" t="str">
        <f>IF(A392="","",IF(K392="",IFERROR(INDEX(Products!$S$3:$S$302,MATCH(A392,Products!$A$3:$A$302,0)),"Product not found"),K392-IF(L392="Percentage",ROUND(K392*N(M392)/100,2),IF(L392="Fixed amount",N(M392),0))))</f>
        <v/>
      </c>
      <c r="O392" s="17"/>
    </row>
    <row r="393" spans="1:15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8"/>
      <c r="L393" s="16"/>
      <c r="M393" s="16"/>
      <c r="N393" s="19" t="str">
        <f>IF(A393="","",IF(K393="",IFERROR(INDEX(Products!$S$3:$S$302,MATCH(A393,Products!$A$3:$A$302,0)),"Product not found"),K393-IF(L393="Percentage",ROUND(K393*N(M393)/100,2),IF(L393="Fixed amount",N(M393),0))))</f>
        <v/>
      </c>
      <c r="O393" s="17"/>
    </row>
    <row r="394" spans="1:15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8"/>
      <c r="L394" s="16"/>
      <c r="M394" s="16"/>
      <c r="N394" s="19" t="str">
        <f>IF(A394="","",IF(K394="",IFERROR(INDEX(Products!$S$3:$S$302,MATCH(A394,Products!$A$3:$A$302,0)),"Product not found"),K394-IF(L394="Percentage",ROUND(K394*N(M394)/100,2),IF(L394="Fixed amount",N(M394),0))))</f>
        <v/>
      </c>
      <c r="O394" s="17"/>
    </row>
    <row r="395" spans="1:15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8"/>
      <c r="L395" s="16"/>
      <c r="M395" s="16"/>
      <c r="N395" s="19" t="str">
        <f>IF(A395="","",IF(K395="",IFERROR(INDEX(Products!$S$3:$S$302,MATCH(A395,Products!$A$3:$A$302,0)),"Product not found"),K395-IF(L395="Percentage",ROUND(K395*N(M395)/100,2),IF(L395="Fixed amount",N(M395),0))))</f>
        <v/>
      </c>
      <c r="O395" s="17"/>
    </row>
    <row r="396" spans="1:15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8"/>
      <c r="L396" s="16"/>
      <c r="M396" s="16"/>
      <c r="N396" s="19" t="str">
        <f>IF(A396="","",IF(K396="",IFERROR(INDEX(Products!$S$3:$S$302,MATCH(A396,Products!$A$3:$A$302,0)),"Product not found"),K396-IF(L396="Percentage",ROUND(K396*N(M396)/100,2),IF(L396="Fixed amount",N(M396),0))))</f>
        <v/>
      </c>
      <c r="O396" s="17"/>
    </row>
    <row r="397" spans="1:15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8"/>
      <c r="L397" s="16"/>
      <c r="M397" s="16"/>
      <c r="N397" s="19" t="str">
        <f>IF(A397="","",IF(K397="",IFERROR(INDEX(Products!$S$3:$S$302,MATCH(A397,Products!$A$3:$A$302,0)),"Product not found"),K397-IF(L397="Percentage",ROUND(K397*N(M397)/100,2),IF(L397="Fixed amount",N(M397),0))))</f>
        <v/>
      </c>
      <c r="O397" s="17"/>
    </row>
    <row r="398" spans="1:15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8"/>
      <c r="L398" s="16"/>
      <c r="M398" s="16"/>
      <c r="N398" s="19" t="str">
        <f>IF(A398="","",IF(K398="",IFERROR(INDEX(Products!$S$3:$S$302,MATCH(A398,Products!$A$3:$A$302,0)),"Product not found"),K398-IF(L398="Percentage",ROUND(K398*N(M398)/100,2),IF(L398="Fixed amount",N(M398),0))))</f>
        <v/>
      </c>
      <c r="O398" s="17"/>
    </row>
    <row r="399" spans="1:15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8"/>
      <c r="L399" s="16"/>
      <c r="M399" s="16"/>
      <c r="N399" s="19" t="str">
        <f>IF(A399="","",IF(K399="",IFERROR(INDEX(Products!$S$3:$S$302,MATCH(A399,Products!$A$3:$A$302,0)),"Product not found"),K399-IF(L399="Percentage",ROUND(K399*N(M399)/100,2),IF(L399="Fixed amount",N(M399),0))))</f>
        <v/>
      </c>
      <c r="O399" s="17"/>
    </row>
    <row r="400" spans="1:15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8"/>
      <c r="L400" s="16"/>
      <c r="M400" s="16"/>
      <c r="N400" s="19" t="str">
        <f>IF(A400="","",IF(K400="",IFERROR(INDEX(Products!$S$3:$S$302,MATCH(A400,Products!$A$3:$A$302,0)),"Product not found"),K400-IF(L400="Percentage",ROUND(K400*N(M400)/100,2),IF(L400="Fixed amount",N(M400),0))))</f>
        <v/>
      </c>
      <c r="O400" s="17"/>
    </row>
    <row r="401" spans="1:15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8"/>
      <c r="L401" s="16"/>
      <c r="M401" s="16"/>
      <c r="N401" s="19" t="str">
        <f>IF(A401="","",IF(K401="",IFERROR(INDEX(Products!$S$3:$S$302,MATCH(A401,Products!$A$3:$A$302,0)),"Product not found"),K401-IF(L401="Percentage",ROUND(K401*N(M401)/100,2),IF(L401="Fixed amount",N(M401),0))))</f>
        <v/>
      </c>
      <c r="O401" s="17"/>
    </row>
    <row r="402" spans="1:15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8"/>
      <c r="L402" s="16"/>
      <c r="M402" s="16"/>
      <c r="N402" s="19" t="str">
        <f>IF(A402="","",IF(K402="",IFERROR(INDEX(Products!$S$3:$S$302,MATCH(A402,Products!$A$3:$A$302,0)),"Product not found"),K402-IF(L402="Percentage",ROUND(K402*N(M402)/100,2),IF(L402="Fixed amount",N(M402),0))))</f>
        <v/>
      </c>
      <c r="O402" s="17"/>
    </row>
    <row r="403" spans="1:15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8"/>
      <c r="L403" s="16"/>
      <c r="M403" s="16"/>
      <c r="N403" s="19" t="str">
        <f>IF(A403="","",IF(K403="",IFERROR(INDEX(Products!$S$3:$S$302,MATCH(A403,Products!$A$3:$A$302,0)),"Product not found"),K403-IF(L403="Percentage",ROUND(K403*N(M403)/100,2),IF(L403="Fixed amount",N(M403),0))))</f>
        <v/>
      </c>
      <c r="O403" s="17"/>
    </row>
    <row r="404" spans="1:15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8"/>
      <c r="L404" s="16"/>
      <c r="M404" s="16"/>
      <c r="N404" s="19" t="str">
        <f>IF(A404="","",IF(K404="",IFERROR(INDEX(Products!$S$3:$S$302,MATCH(A404,Products!$A$3:$A$302,0)),"Product not found"),K404-IF(L404="Percentage",ROUND(K404*N(M404)/100,2),IF(L404="Fixed amount",N(M404),0))))</f>
        <v/>
      </c>
      <c r="O404" s="17"/>
    </row>
    <row r="405" spans="1:15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8"/>
      <c r="L405" s="16"/>
      <c r="M405" s="16"/>
      <c r="N405" s="19" t="str">
        <f>IF(A405="","",IF(K405="",IFERROR(INDEX(Products!$S$3:$S$302,MATCH(A405,Products!$A$3:$A$302,0)),"Product not found"),K405-IF(L405="Percentage",ROUND(K405*N(M405)/100,2),IF(L405="Fixed amount",N(M405),0))))</f>
        <v/>
      </c>
      <c r="O405" s="17"/>
    </row>
    <row r="406" spans="1:15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8"/>
      <c r="L406" s="16"/>
      <c r="M406" s="16"/>
      <c r="N406" s="19" t="str">
        <f>IF(A406="","",IF(K406="",IFERROR(INDEX(Products!$S$3:$S$302,MATCH(A406,Products!$A$3:$A$302,0)),"Product not found"),K406-IF(L406="Percentage",ROUND(K406*N(M406)/100,2),IF(L406="Fixed amount",N(M406),0))))</f>
        <v/>
      </c>
      <c r="O406" s="17"/>
    </row>
    <row r="407" spans="1:15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8"/>
      <c r="L407" s="16"/>
      <c r="M407" s="16"/>
      <c r="N407" s="19" t="str">
        <f>IF(A407="","",IF(K407="",IFERROR(INDEX(Products!$S$3:$S$302,MATCH(A407,Products!$A$3:$A$302,0)),"Product not found"),K407-IF(L407="Percentage",ROUND(K407*N(M407)/100,2),IF(L407="Fixed amount",N(M407),0))))</f>
        <v/>
      </c>
      <c r="O407" s="17"/>
    </row>
    <row r="408" spans="1:15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8"/>
      <c r="L408" s="16"/>
      <c r="M408" s="16"/>
      <c r="N408" s="19" t="str">
        <f>IF(A408="","",IF(K408="",IFERROR(INDEX(Products!$S$3:$S$302,MATCH(A408,Products!$A$3:$A$302,0)),"Product not found"),K408-IF(L408="Percentage",ROUND(K408*N(M408)/100,2),IF(L408="Fixed amount",N(M408),0))))</f>
        <v/>
      </c>
      <c r="O408" s="17"/>
    </row>
    <row r="409" spans="1:15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8"/>
      <c r="L409" s="16"/>
      <c r="M409" s="16"/>
      <c r="N409" s="19" t="str">
        <f>IF(A409="","",IF(K409="",IFERROR(INDEX(Products!$S$3:$S$302,MATCH(A409,Products!$A$3:$A$302,0)),"Product not found"),K409-IF(L409="Percentage",ROUND(K409*N(M409)/100,2),IF(L409="Fixed amount",N(M409),0))))</f>
        <v/>
      </c>
      <c r="O409" s="17"/>
    </row>
    <row r="410" spans="1:15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8"/>
      <c r="L410" s="16"/>
      <c r="M410" s="16"/>
      <c r="N410" s="19" t="str">
        <f>IF(A410="","",IF(K410="",IFERROR(INDEX(Products!$S$3:$S$302,MATCH(A410,Products!$A$3:$A$302,0)),"Product not found"),K410-IF(L410="Percentage",ROUND(K410*N(M410)/100,2),IF(L410="Fixed amount",N(M410),0))))</f>
        <v/>
      </c>
      <c r="O410" s="17"/>
    </row>
    <row r="411" spans="1:15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8"/>
      <c r="L411" s="16"/>
      <c r="M411" s="16"/>
      <c r="N411" s="19" t="str">
        <f>IF(A411="","",IF(K411="",IFERROR(INDEX(Products!$S$3:$S$302,MATCH(A411,Products!$A$3:$A$302,0)),"Product not found"),K411-IF(L411="Percentage",ROUND(K411*N(M411)/100,2),IF(L411="Fixed amount",N(M411),0))))</f>
        <v/>
      </c>
      <c r="O411" s="17"/>
    </row>
    <row r="412" spans="1:15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8"/>
      <c r="L412" s="16"/>
      <c r="M412" s="16"/>
      <c r="N412" s="19" t="str">
        <f>IF(A412="","",IF(K412="",IFERROR(INDEX(Products!$S$3:$S$302,MATCH(A412,Products!$A$3:$A$302,0)),"Product not found"),K412-IF(L412="Percentage",ROUND(K412*N(M412)/100,2),IF(L412="Fixed amount",N(M412),0))))</f>
        <v/>
      </c>
      <c r="O412" s="17"/>
    </row>
    <row r="413" spans="1:15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8"/>
      <c r="L413" s="16"/>
      <c r="M413" s="16"/>
      <c r="N413" s="19" t="str">
        <f>IF(A413="","",IF(K413="",IFERROR(INDEX(Products!$S$3:$S$302,MATCH(A413,Products!$A$3:$A$302,0)),"Product not found"),K413-IF(L413="Percentage",ROUND(K413*N(M413)/100,2),IF(L413="Fixed amount",N(M413),0))))</f>
        <v/>
      </c>
      <c r="O413" s="17"/>
    </row>
    <row r="414" spans="1:15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8"/>
      <c r="L414" s="16"/>
      <c r="M414" s="16"/>
      <c r="N414" s="19" t="str">
        <f>IF(A414="","",IF(K414="",IFERROR(INDEX(Products!$S$3:$S$302,MATCH(A414,Products!$A$3:$A$302,0)),"Product not found"),K414-IF(L414="Percentage",ROUND(K414*N(M414)/100,2),IF(L414="Fixed amount",N(M414),0))))</f>
        <v/>
      </c>
      <c r="O414" s="17"/>
    </row>
    <row r="415" spans="1:15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8"/>
      <c r="L415" s="16"/>
      <c r="M415" s="16"/>
      <c r="N415" s="19" t="str">
        <f>IF(A415="","",IF(K415="",IFERROR(INDEX(Products!$S$3:$S$302,MATCH(A415,Products!$A$3:$A$302,0)),"Product not found"),K415-IF(L415="Percentage",ROUND(K415*N(M415)/100,2),IF(L415="Fixed amount",N(M415),0))))</f>
        <v/>
      </c>
      <c r="O415" s="17"/>
    </row>
    <row r="416" spans="1:15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8"/>
      <c r="L416" s="16"/>
      <c r="M416" s="16"/>
      <c r="N416" s="19" t="str">
        <f>IF(A416="","",IF(K416="",IFERROR(INDEX(Products!$S$3:$S$302,MATCH(A416,Products!$A$3:$A$302,0)),"Product not found"),K416-IF(L416="Percentage",ROUND(K416*N(M416)/100,2),IF(L416="Fixed amount",N(M416),0))))</f>
        <v/>
      </c>
      <c r="O416" s="17"/>
    </row>
    <row r="417" spans="1:15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8"/>
      <c r="L417" s="16"/>
      <c r="M417" s="16"/>
      <c r="N417" s="19" t="str">
        <f>IF(A417="","",IF(K417="",IFERROR(INDEX(Products!$S$3:$S$302,MATCH(A417,Products!$A$3:$A$302,0)),"Product not found"),K417-IF(L417="Percentage",ROUND(K417*N(M417)/100,2),IF(L417="Fixed amount",N(M417),0))))</f>
        <v/>
      </c>
      <c r="O417" s="17"/>
    </row>
    <row r="418" spans="1:15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8"/>
      <c r="L418" s="16"/>
      <c r="M418" s="16"/>
      <c r="N418" s="19" t="str">
        <f>IF(A418="","",IF(K418="",IFERROR(INDEX(Products!$S$3:$S$302,MATCH(A418,Products!$A$3:$A$302,0)),"Product not found"),K418-IF(L418="Percentage",ROUND(K418*N(M418)/100,2),IF(L418="Fixed amount",N(M418),0))))</f>
        <v/>
      </c>
      <c r="O418" s="17"/>
    </row>
    <row r="419" spans="1:15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8"/>
      <c r="L419" s="16"/>
      <c r="M419" s="16"/>
      <c r="N419" s="19" t="str">
        <f>IF(A419="","",IF(K419="",IFERROR(INDEX(Products!$S$3:$S$302,MATCH(A419,Products!$A$3:$A$302,0)),"Product not found"),K419-IF(L419="Percentage",ROUND(K419*N(M419)/100,2),IF(L419="Fixed amount",N(M419),0))))</f>
        <v/>
      </c>
      <c r="O419" s="17"/>
    </row>
    <row r="420" spans="1:15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8"/>
      <c r="L420" s="16"/>
      <c r="M420" s="16"/>
      <c r="N420" s="19" t="str">
        <f>IF(A420="","",IF(K420="",IFERROR(INDEX(Products!$S$3:$S$302,MATCH(A420,Products!$A$3:$A$302,0)),"Product not found"),K420-IF(L420="Percentage",ROUND(K420*N(M420)/100,2),IF(L420="Fixed amount",N(M420),0))))</f>
        <v/>
      </c>
      <c r="O420" s="17"/>
    </row>
    <row r="421" spans="1:15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8"/>
      <c r="L421" s="16"/>
      <c r="M421" s="16"/>
      <c r="N421" s="19" t="str">
        <f>IF(A421="","",IF(K421="",IFERROR(INDEX(Products!$S$3:$S$302,MATCH(A421,Products!$A$3:$A$302,0)),"Product not found"),K421-IF(L421="Percentage",ROUND(K421*N(M421)/100,2),IF(L421="Fixed amount",N(M421),0))))</f>
        <v/>
      </c>
      <c r="O421" s="17"/>
    </row>
    <row r="422" spans="1:15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8"/>
      <c r="L422" s="16"/>
      <c r="M422" s="16"/>
      <c r="N422" s="19" t="str">
        <f>IF(A422="","",IF(K422="",IFERROR(INDEX(Products!$S$3:$S$302,MATCH(A422,Products!$A$3:$A$302,0)),"Product not found"),K422-IF(L422="Percentage",ROUND(K422*N(M422)/100,2),IF(L422="Fixed amount",N(M422),0))))</f>
        <v/>
      </c>
      <c r="O422" s="17"/>
    </row>
    <row r="423" spans="1:15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8"/>
      <c r="L423" s="16"/>
      <c r="M423" s="16"/>
      <c r="N423" s="19" t="str">
        <f>IF(A423="","",IF(K423="",IFERROR(INDEX(Products!$S$3:$S$302,MATCH(A423,Products!$A$3:$A$302,0)),"Product not found"),K423-IF(L423="Percentage",ROUND(K423*N(M423)/100,2),IF(L423="Fixed amount",N(M423),0))))</f>
        <v/>
      </c>
      <c r="O423" s="17"/>
    </row>
    <row r="424" spans="1:15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8"/>
      <c r="L424" s="16"/>
      <c r="M424" s="16"/>
      <c r="N424" s="19" t="str">
        <f>IF(A424="","",IF(K424="",IFERROR(INDEX(Products!$S$3:$S$302,MATCH(A424,Products!$A$3:$A$302,0)),"Product not found"),K424-IF(L424="Percentage",ROUND(K424*N(M424)/100,2),IF(L424="Fixed amount",N(M424),0))))</f>
        <v/>
      </c>
      <c r="O424" s="17"/>
    </row>
    <row r="425" spans="1:15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8"/>
      <c r="L425" s="16"/>
      <c r="M425" s="16"/>
      <c r="N425" s="19" t="str">
        <f>IF(A425="","",IF(K425="",IFERROR(INDEX(Products!$S$3:$S$302,MATCH(A425,Products!$A$3:$A$302,0)),"Product not found"),K425-IF(L425="Percentage",ROUND(K425*N(M425)/100,2),IF(L425="Fixed amount",N(M425),0))))</f>
        <v/>
      </c>
      <c r="O425" s="17"/>
    </row>
    <row r="426" spans="1:15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8"/>
      <c r="L426" s="16"/>
      <c r="M426" s="16"/>
      <c r="N426" s="19" t="str">
        <f>IF(A426="","",IF(K426="",IFERROR(INDEX(Products!$S$3:$S$302,MATCH(A426,Products!$A$3:$A$302,0)),"Product not found"),K426-IF(L426="Percentage",ROUND(K426*N(M426)/100,2),IF(L426="Fixed amount",N(M426),0))))</f>
        <v/>
      </c>
      <c r="O426" s="17"/>
    </row>
    <row r="427" spans="1:15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8"/>
      <c r="L427" s="16"/>
      <c r="M427" s="16"/>
      <c r="N427" s="19" t="str">
        <f>IF(A427="","",IF(K427="",IFERROR(INDEX(Products!$S$3:$S$302,MATCH(A427,Products!$A$3:$A$302,0)),"Product not found"),K427-IF(L427="Percentage",ROUND(K427*N(M427)/100,2),IF(L427="Fixed amount",N(M427),0))))</f>
        <v/>
      </c>
      <c r="O427" s="17"/>
    </row>
    <row r="428" spans="1:15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8"/>
      <c r="L428" s="16"/>
      <c r="M428" s="16"/>
      <c r="N428" s="19" t="str">
        <f>IF(A428="","",IF(K428="",IFERROR(INDEX(Products!$S$3:$S$302,MATCH(A428,Products!$A$3:$A$302,0)),"Product not found"),K428-IF(L428="Percentage",ROUND(K428*N(M428)/100,2),IF(L428="Fixed amount",N(M428),0))))</f>
        <v/>
      </c>
      <c r="O428" s="17"/>
    </row>
    <row r="429" spans="1:15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8"/>
      <c r="L429" s="16"/>
      <c r="M429" s="16"/>
      <c r="N429" s="19" t="str">
        <f>IF(A429="","",IF(K429="",IFERROR(INDEX(Products!$S$3:$S$302,MATCH(A429,Products!$A$3:$A$302,0)),"Product not found"),K429-IF(L429="Percentage",ROUND(K429*N(M429)/100,2),IF(L429="Fixed amount",N(M429),0))))</f>
        <v/>
      </c>
      <c r="O429" s="17"/>
    </row>
    <row r="430" spans="1:15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8"/>
      <c r="L430" s="16"/>
      <c r="M430" s="16"/>
      <c r="N430" s="19" t="str">
        <f>IF(A430="","",IF(K430="",IFERROR(INDEX(Products!$S$3:$S$302,MATCH(A430,Products!$A$3:$A$302,0)),"Product not found"),K430-IF(L430="Percentage",ROUND(K430*N(M430)/100,2),IF(L430="Fixed amount",N(M430),0))))</f>
        <v/>
      </c>
      <c r="O430" s="17"/>
    </row>
    <row r="431" spans="1:15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8"/>
      <c r="L431" s="16"/>
      <c r="M431" s="16"/>
      <c r="N431" s="19" t="str">
        <f>IF(A431="","",IF(K431="",IFERROR(INDEX(Products!$S$3:$S$302,MATCH(A431,Products!$A$3:$A$302,0)),"Product not found"),K431-IF(L431="Percentage",ROUND(K431*N(M431)/100,2),IF(L431="Fixed amount",N(M431),0))))</f>
        <v/>
      </c>
      <c r="O431" s="17"/>
    </row>
    <row r="432" spans="1:15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8"/>
      <c r="L432" s="16"/>
      <c r="M432" s="16"/>
      <c r="N432" s="19" t="str">
        <f>IF(A432="","",IF(K432="",IFERROR(INDEX(Products!$S$3:$S$302,MATCH(A432,Products!$A$3:$A$302,0)),"Product not found"),K432-IF(L432="Percentage",ROUND(K432*N(M432)/100,2),IF(L432="Fixed amount",N(M432),0))))</f>
        <v/>
      </c>
      <c r="O432" s="17"/>
    </row>
    <row r="433" spans="1:15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8"/>
      <c r="L433" s="16"/>
      <c r="M433" s="16"/>
      <c r="N433" s="19" t="str">
        <f>IF(A433="","",IF(K433="",IFERROR(INDEX(Products!$S$3:$S$302,MATCH(A433,Products!$A$3:$A$302,0)),"Product not found"),K433-IF(L433="Percentage",ROUND(K433*N(M433)/100,2),IF(L433="Fixed amount",N(M433),0))))</f>
        <v/>
      </c>
      <c r="O433" s="17"/>
    </row>
    <row r="434" spans="1:15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8"/>
      <c r="L434" s="16"/>
      <c r="M434" s="16"/>
      <c r="N434" s="19" t="str">
        <f>IF(A434="","",IF(K434="",IFERROR(INDEX(Products!$S$3:$S$302,MATCH(A434,Products!$A$3:$A$302,0)),"Product not found"),K434-IF(L434="Percentage",ROUND(K434*N(M434)/100,2),IF(L434="Fixed amount",N(M434),0))))</f>
        <v/>
      </c>
      <c r="O434" s="17"/>
    </row>
    <row r="435" spans="1:15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8"/>
      <c r="L435" s="16"/>
      <c r="M435" s="16"/>
      <c r="N435" s="19" t="str">
        <f>IF(A435="","",IF(K435="",IFERROR(INDEX(Products!$S$3:$S$302,MATCH(A435,Products!$A$3:$A$302,0)),"Product not found"),K435-IF(L435="Percentage",ROUND(K435*N(M435)/100,2),IF(L435="Fixed amount",N(M435),0))))</f>
        <v/>
      </c>
      <c r="O435" s="17"/>
    </row>
    <row r="436" spans="1:15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8"/>
      <c r="L436" s="16"/>
      <c r="M436" s="16"/>
      <c r="N436" s="19" t="str">
        <f>IF(A436="","",IF(K436="",IFERROR(INDEX(Products!$S$3:$S$302,MATCH(A436,Products!$A$3:$A$302,0)),"Product not found"),K436-IF(L436="Percentage",ROUND(K436*N(M436)/100,2),IF(L436="Fixed amount",N(M436),0))))</f>
        <v/>
      </c>
      <c r="O436" s="17"/>
    </row>
    <row r="437" spans="1:15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8"/>
      <c r="L437" s="16"/>
      <c r="M437" s="16"/>
      <c r="N437" s="19" t="str">
        <f>IF(A437="","",IF(K437="",IFERROR(INDEX(Products!$S$3:$S$302,MATCH(A437,Products!$A$3:$A$302,0)),"Product not found"),K437-IF(L437="Percentage",ROUND(K437*N(M437)/100,2),IF(L437="Fixed amount",N(M437),0))))</f>
        <v/>
      </c>
      <c r="O437" s="17"/>
    </row>
    <row r="438" spans="1:15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8"/>
      <c r="L438" s="16"/>
      <c r="M438" s="16"/>
      <c r="N438" s="19" t="str">
        <f>IF(A438="","",IF(K438="",IFERROR(INDEX(Products!$S$3:$S$302,MATCH(A438,Products!$A$3:$A$302,0)),"Product not found"),K438-IF(L438="Percentage",ROUND(K438*N(M438)/100,2),IF(L438="Fixed amount",N(M438),0))))</f>
        <v/>
      </c>
      <c r="O438" s="17"/>
    </row>
    <row r="439" spans="1:15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8"/>
      <c r="L439" s="16"/>
      <c r="M439" s="16"/>
      <c r="N439" s="19" t="str">
        <f>IF(A439="","",IF(K439="",IFERROR(INDEX(Products!$S$3:$S$302,MATCH(A439,Products!$A$3:$A$302,0)),"Product not found"),K439-IF(L439="Percentage",ROUND(K439*N(M439)/100,2),IF(L439="Fixed amount",N(M439),0))))</f>
        <v/>
      </c>
      <c r="O439" s="17"/>
    </row>
    <row r="440" spans="1:15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8"/>
      <c r="L440" s="16"/>
      <c r="M440" s="16"/>
      <c r="N440" s="19" t="str">
        <f>IF(A440="","",IF(K440="",IFERROR(INDEX(Products!$S$3:$S$302,MATCH(A440,Products!$A$3:$A$302,0)),"Product not found"),K440-IF(L440="Percentage",ROUND(K440*N(M440)/100,2),IF(L440="Fixed amount",N(M440),0))))</f>
        <v/>
      </c>
      <c r="O440" s="17"/>
    </row>
    <row r="441" spans="1:15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8"/>
      <c r="L441" s="16"/>
      <c r="M441" s="16"/>
      <c r="N441" s="19" t="str">
        <f>IF(A441="","",IF(K441="",IFERROR(INDEX(Products!$S$3:$S$302,MATCH(A441,Products!$A$3:$A$302,0)),"Product not found"),K441-IF(L441="Percentage",ROUND(K441*N(M441)/100,2),IF(L441="Fixed amount",N(M441),0))))</f>
        <v/>
      </c>
      <c r="O441" s="17"/>
    </row>
    <row r="442" spans="1:15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8"/>
      <c r="L442" s="16"/>
      <c r="M442" s="16"/>
      <c r="N442" s="19" t="str">
        <f>IF(A442="","",IF(K442="",IFERROR(INDEX(Products!$S$3:$S$302,MATCH(A442,Products!$A$3:$A$302,0)),"Product not found"),K442-IF(L442="Percentage",ROUND(K442*N(M442)/100,2),IF(L442="Fixed amount",N(M442),0))))</f>
        <v/>
      </c>
      <c r="O442" s="17"/>
    </row>
    <row r="443" spans="1:15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8"/>
      <c r="L443" s="16"/>
      <c r="M443" s="16"/>
      <c r="N443" s="19" t="str">
        <f>IF(A443="","",IF(K443="",IFERROR(INDEX(Products!$S$3:$S$302,MATCH(A443,Products!$A$3:$A$302,0)),"Product not found"),K443-IF(L443="Percentage",ROUND(K443*N(M443)/100,2),IF(L443="Fixed amount",N(M443),0))))</f>
        <v/>
      </c>
      <c r="O443" s="17"/>
    </row>
    <row r="444" spans="1:15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8"/>
      <c r="L444" s="16"/>
      <c r="M444" s="16"/>
      <c r="N444" s="19" t="str">
        <f>IF(A444="","",IF(K444="",IFERROR(INDEX(Products!$S$3:$S$302,MATCH(A444,Products!$A$3:$A$302,0)),"Product not found"),K444-IF(L444="Percentage",ROUND(K444*N(M444)/100,2),IF(L444="Fixed amount",N(M444),0))))</f>
        <v/>
      </c>
      <c r="O444" s="17"/>
    </row>
    <row r="445" spans="1:15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8"/>
      <c r="L445" s="16"/>
      <c r="M445" s="16"/>
      <c r="N445" s="19" t="str">
        <f>IF(A445="","",IF(K445="",IFERROR(INDEX(Products!$S$3:$S$302,MATCH(A445,Products!$A$3:$A$302,0)),"Product not found"),K445-IF(L445="Percentage",ROUND(K445*N(M445)/100,2),IF(L445="Fixed amount",N(M445),0))))</f>
        <v/>
      </c>
      <c r="O445" s="17"/>
    </row>
    <row r="446" spans="1:15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8"/>
      <c r="L446" s="16"/>
      <c r="M446" s="16"/>
      <c r="N446" s="19" t="str">
        <f>IF(A446="","",IF(K446="",IFERROR(INDEX(Products!$S$3:$S$302,MATCH(A446,Products!$A$3:$A$302,0)),"Product not found"),K446-IF(L446="Percentage",ROUND(K446*N(M446)/100,2),IF(L446="Fixed amount",N(M446),0))))</f>
        <v/>
      </c>
      <c r="O446" s="17"/>
    </row>
    <row r="447" spans="1:15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8"/>
      <c r="L447" s="16"/>
      <c r="M447" s="16"/>
      <c r="N447" s="19" t="str">
        <f>IF(A447="","",IF(K447="",IFERROR(INDEX(Products!$S$3:$S$302,MATCH(A447,Products!$A$3:$A$302,0)),"Product not found"),K447-IF(L447="Percentage",ROUND(K447*N(M447)/100,2),IF(L447="Fixed amount",N(M447),0))))</f>
        <v/>
      </c>
      <c r="O447" s="17"/>
    </row>
    <row r="448" spans="1:15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8"/>
      <c r="L448" s="16"/>
      <c r="M448" s="16"/>
      <c r="N448" s="19" t="str">
        <f>IF(A448="","",IF(K448="",IFERROR(INDEX(Products!$S$3:$S$302,MATCH(A448,Products!$A$3:$A$302,0)),"Product not found"),K448-IF(L448="Percentage",ROUND(K448*N(M448)/100,2),IF(L448="Fixed amount",N(M448),0))))</f>
        <v/>
      </c>
      <c r="O448" s="17"/>
    </row>
    <row r="449" spans="1:15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8"/>
      <c r="L449" s="16"/>
      <c r="M449" s="16"/>
      <c r="N449" s="19" t="str">
        <f>IF(A449="","",IF(K449="",IFERROR(INDEX(Products!$S$3:$S$302,MATCH(A449,Products!$A$3:$A$302,0)),"Product not found"),K449-IF(L449="Percentage",ROUND(K449*N(M449)/100,2),IF(L449="Fixed amount",N(M449),0))))</f>
        <v/>
      </c>
      <c r="O449" s="17"/>
    </row>
    <row r="450" spans="1:15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8"/>
      <c r="L450" s="16"/>
      <c r="M450" s="16"/>
      <c r="N450" s="19" t="str">
        <f>IF(A450="","",IF(K450="",IFERROR(INDEX(Products!$S$3:$S$302,MATCH(A450,Products!$A$3:$A$302,0)),"Product not found"),K450-IF(L450="Percentage",ROUND(K450*N(M450)/100,2),IF(L450="Fixed amount",N(M450),0))))</f>
        <v/>
      </c>
      <c r="O450" s="17"/>
    </row>
    <row r="451" spans="1:15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8"/>
      <c r="L451" s="16"/>
      <c r="M451" s="16"/>
      <c r="N451" s="19" t="str">
        <f>IF(A451="","",IF(K451="",IFERROR(INDEX(Products!$S$3:$S$302,MATCH(A451,Products!$A$3:$A$302,0)),"Product not found"),K451-IF(L451="Percentage",ROUND(K451*N(M451)/100,2),IF(L451="Fixed amount",N(M451),0))))</f>
        <v/>
      </c>
      <c r="O451" s="17"/>
    </row>
    <row r="452" spans="1:15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8"/>
      <c r="L452" s="16"/>
      <c r="M452" s="16"/>
      <c r="N452" s="19" t="str">
        <f>IF(A452="","",IF(K452="",IFERROR(INDEX(Products!$S$3:$S$302,MATCH(A452,Products!$A$3:$A$302,0)),"Product not found"),K452-IF(L452="Percentage",ROUND(K452*N(M452)/100,2),IF(L452="Fixed amount",N(M452),0))))</f>
        <v/>
      </c>
      <c r="O452" s="17"/>
    </row>
    <row r="453" spans="1:15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8"/>
      <c r="L453" s="16"/>
      <c r="M453" s="16"/>
      <c r="N453" s="19" t="str">
        <f>IF(A453="","",IF(K453="",IFERROR(INDEX(Products!$S$3:$S$302,MATCH(A453,Products!$A$3:$A$302,0)),"Product not found"),K453-IF(L453="Percentage",ROUND(K453*N(M453)/100,2),IF(L453="Fixed amount",N(M453),0))))</f>
        <v/>
      </c>
      <c r="O453" s="17"/>
    </row>
    <row r="454" spans="1:15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8"/>
      <c r="L454" s="16"/>
      <c r="M454" s="16"/>
      <c r="N454" s="19" t="str">
        <f>IF(A454="","",IF(K454="",IFERROR(INDEX(Products!$S$3:$S$302,MATCH(A454,Products!$A$3:$A$302,0)),"Product not found"),K454-IF(L454="Percentage",ROUND(K454*N(M454)/100,2),IF(L454="Fixed amount",N(M454),0))))</f>
        <v/>
      </c>
      <c r="O454" s="17"/>
    </row>
    <row r="455" spans="1:15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8"/>
      <c r="L455" s="16"/>
      <c r="M455" s="16"/>
      <c r="N455" s="19" t="str">
        <f>IF(A455="","",IF(K455="",IFERROR(INDEX(Products!$S$3:$S$302,MATCH(A455,Products!$A$3:$A$302,0)),"Product not found"),K455-IF(L455="Percentage",ROUND(K455*N(M455)/100,2),IF(L455="Fixed amount",N(M455),0))))</f>
        <v/>
      </c>
      <c r="O455" s="17"/>
    </row>
    <row r="456" spans="1:15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8"/>
      <c r="L456" s="16"/>
      <c r="M456" s="16"/>
      <c r="N456" s="19" t="str">
        <f>IF(A456="","",IF(K456="",IFERROR(INDEX(Products!$S$3:$S$302,MATCH(A456,Products!$A$3:$A$302,0)),"Product not found"),K456-IF(L456="Percentage",ROUND(K456*N(M456)/100,2),IF(L456="Fixed amount",N(M456),0))))</f>
        <v/>
      </c>
      <c r="O456" s="17"/>
    </row>
    <row r="457" spans="1:15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8"/>
      <c r="L457" s="16"/>
      <c r="M457" s="16"/>
      <c r="N457" s="19" t="str">
        <f>IF(A457="","",IF(K457="",IFERROR(INDEX(Products!$S$3:$S$302,MATCH(A457,Products!$A$3:$A$302,0)),"Product not found"),K457-IF(L457="Percentage",ROUND(K457*N(M457)/100,2),IF(L457="Fixed amount",N(M457),0))))</f>
        <v/>
      </c>
      <c r="O457" s="17"/>
    </row>
    <row r="458" spans="1:15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8"/>
      <c r="L458" s="16"/>
      <c r="M458" s="16"/>
      <c r="N458" s="19" t="str">
        <f>IF(A458="","",IF(K458="",IFERROR(INDEX(Products!$S$3:$S$302,MATCH(A458,Products!$A$3:$A$302,0)),"Product not found"),K458-IF(L458="Percentage",ROUND(K458*N(M458)/100,2),IF(L458="Fixed amount",N(M458),0))))</f>
        <v/>
      </c>
      <c r="O458" s="17"/>
    </row>
    <row r="459" spans="1:15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8"/>
      <c r="L459" s="16"/>
      <c r="M459" s="16"/>
      <c r="N459" s="19" t="str">
        <f>IF(A459="","",IF(K459="",IFERROR(INDEX(Products!$S$3:$S$302,MATCH(A459,Products!$A$3:$A$302,0)),"Product not found"),K459-IF(L459="Percentage",ROUND(K459*N(M459)/100,2),IF(L459="Fixed amount",N(M459),0))))</f>
        <v/>
      </c>
      <c r="O459" s="17"/>
    </row>
    <row r="460" spans="1:15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8"/>
      <c r="L460" s="16"/>
      <c r="M460" s="16"/>
      <c r="N460" s="19" t="str">
        <f>IF(A460="","",IF(K460="",IFERROR(INDEX(Products!$S$3:$S$302,MATCH(A460,Products!$A$3:$A$302,0)),"Product not found"),K460-IF(L460="Percentage",ROUND(K460*N(M460)/100,2),IF(L460="Fixed amount",N(M460),0))))</f>
        <v/>
      </c>
      <c r="O460" s="17"/>
    </row>
    <row r="461" spans="1:15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8"/>
      <c r="L461" s="16"/>
      <c r="M461" s="16"/>
      <c r="N461" s="19" t="str">
        <f>IF(A461="","",IF(K461="",IFERROR(INDEX(Products!$S$3:$S$302,MATCH(A461,Products!$A$3:$A$302,0)),"Product not found"),K461-IF(L461="Percentage",ROUND(K461*N(M461)/100,2),IF(L461="Fixed amount",N(M461),0))))</f>
        <v/>
      </c>
      <c r="O461" s="17"/>
    </row>
    <row r="462" spans="1:15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8"/>
      <c r="L462" s="16"/>
      <c r="M462" s="16"/>
      <c r="N462" s="19" t="str">
        <f>IF(A462="","",IF(K462="",IFERROR(INDEX(Products!$S$3:$S$302,MATCH(A462,Products!$A$3:$A$302,0)),"Product not found"),K462-IF(L462="Percentage",ROUND(K462*N(M462)/100,2),IF(L462="Fixed amount",N(M462),0))))</f>
        <v/>
      </c>
      <c r="O462" s="17"/>
    </row>
    <row r="463" spans="1:15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8"/>
      <c r="L463" s="16"/>
      <c r="M463" s="16"/>
      <c r="N463" s="19" t="str">
        <f>IF(A463="","",IF(K463="",IFERROR(INDEX(Products!$S$3:$S$302,MATCH(A463,Products!$A$3:$A$302,0)),"Product not found"),K463-IF(L463="Percentage",ROUND(K463*N(M463)/100,2),IF(L463="Fixed amount",N(M463),0))))</f>
        <v/>
      </c>
      <c r="O463" s="17"/>
    </row>
    <row r="464" spans="1:15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8"/>
      <c r="L464" s="16"/>
      <c r="M464" s="16"/>
      <c r="N464" s="19" t="str">
        <f>IF(A464="","",IF(K464="",IFERROR(INDEX(Products!$S$3:$S$302,MATCH(A464,Products!$A$3:$A$302,0)),"Product not found"),K464-IF(L464="Percentage",ROUND(K464*N(M464)/100,2),IF(L464="Fixed amount",N(M464),0))))</f>
        <v/>
      </c>
      <c r="O464" s="17"/>
    </row>
    <row r="465" spans="1:15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8"/>
      <c r="L465" s="16"/>
      <c r="M465" s="16"/>
      <c r="N465" s="19" t="str">
        <f>IF(A465="","",IF(K465="",IFERROR(INDEX(Products!$S$3:$S$302,MATCH(A465,Products!$A$3:$A$302,0)),"Product not found"),K465-IF(L465="Percentage",ROUND(K465*N(M465)/100,2),IF(L465="Fixed amount",N(M465),0))))</f>
        <v/>
      </c>
      <c r="O465" s="17"/>
    </row>
    <row r="466" spans="1:15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8"/>
      <c r="L466" s="16"/>
      <c r="M466" s="16"/>
      <c r="N466" s="19" t="str">
        <f>IF(A466="","",IF(K466="",IFERROR(INDEX(Products!$S$3:$S$302,MATCH(A466,Products!$A$3:$A$302,0)),"Product not found"),K466-IF(L466="Percentage",ROUND(K466*N(M466)/100,2),IF(L466="Fixed amount",N(M466),0))))</f>
        <v/>
      </c>
      <c r="O466" s="17"/>
    </row>
    <row r="467" spans="1:15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8"/>
      <c r="L467" s="16"/>
      <c r="M467" s="16"/>
      <c r="N467" s="19" t="str">
        <f>IF(A467="","",IF(K467="",IFERROR(INDEX(Products!$S$3:$S$302,MATCH(A467,Products!$A$3:$A$302,0)),"Product not found"),K467-IF(L467="Percentage",ROUND(K467*N(M467)/100,2),IF(L467="Fixed amount",N(M467),0))))</f>
        <v/>
      </c>
      <c r="O467" s="17"/>
    </row>
    <row r="468" spans="1:15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8"/>
      <c r="L468" s="16"/>
      <c r="M468" s="16"/>
      <c r="N468" s="19" t="str">
        <f>IF(A468="","",IF(K468="",IFERROR(INDEX(Products!$S$3:$S$302,MATCH(A468,Products!$A$3:$A$302,0)),"Product not found"),K468-IF(L468="Percentage",ROUND(K468*N(M468)/100,2),IF(L468="Fixed amount",N(M468),0))))</f>
        <v/>
      </c>
      <c r="O468" s="17"/>
    </row>
    <row r="469" spans="1:15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8"/>
      <c r="L469" s="16"/>
      <c r="M469" s="16"/>
      <c r="N469" s="19" t="str">
        <f>IF(A469="","",IF(K469="",IFERROR(INDEX(Products!$S$3:$S$302,MATCH(A469,Products!$A$3:$A$302,0)),"Product not found"),K469-IF(L469="Percentage",ROUND(K469*N(M469)/100,2),IF(L469="Fixed amount",N(M469),0))))</f>
        <v/>
      </c>
      <c r="O469" s="17"/>
    </row>
    <row r="470" spans="1:15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8"/>
      <c r="L470" s="16"/>
      <c r="M470" s="16"/>
      <c r="N470" s="19" t="str">
        <f>IF(A470="","",IF(K470="",IFERROR(INDEX(Products!$S$3:$S$302,MATCH(A470,Products!$A$3:$A$302,0)),"Product not found"),K470-IF(L470="Percentage",ROUND(K470*N(M470)/100,2),IF(L470="Fixed amount",N(M470),0))))</f>
        <v/>
      </c>
      <c r="O470" s="17"/>
    </row>
    <row r="471" spans="1:15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8"/>
      <c r="L471" s="16"/>
      <c r="M471" s="16"/>
      <c r="N471" s="19" t="str">
        <f>IF(A471="","",IF(K471="",IFERROR(INDEX(Products!$S$3:$S$302,MATCH(A471,Products!$A$3:$A$302,0)),"Product not found"),K471-IF(L471="Percentage",ROUND(K471*N(M471)/100,2),IF(L471="Fixed amount",N(M471),0))))</f>
        <v/>
      </c>
      <c r="O471" s="17"/>
    </row>
    <row r="472" spans="1:15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8"/>
      <c r="L472" s="16"/>
      <c r="M472" s="16"/>
      <c r="N472" s="19" t="str">
        <f>IF(A472="","",IF(K472="",IFERROR(INDEX(Products!$S$3:$S$302,MATCH(A472,Products!$A$3:$A$302,0)),"Product not found"),K472-IF(L472="Percentage",ROUND(K472*N(M472)/100,2),IF(L472="Fixed amount",N(M472),0))))</f>
        <v/>
      </c>
      <c r="O472" s="17"/>
    </row>
    <row r="473" spans="1:15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8"/>
      <c r="L473" s="16"/>
      <c r="M473" s="16"/>
      <c r="N473" s="19" t="str">
        <f>IF(A473="","",IF(K473="",IFERROR(INDEX(Products!$S$3:$S$302,MATCH(A473,Products!$A$3:$A$302,0)),"Product not found"),K473-IF(L473="Percentage",ROUND(K473*N(M473)/100,2),IF(L473="Fixed amount",N(M473),0))))</f>
        <v/>
      </c>
      <c r="O473" s="17"/>
    </row>
    <row r="474" spans="1:15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8"/>
      <c r="L474" s="16"/>
      <c r="M474" s="16"/>
      <c r="N474" s="19" t="str">
        <f>IF(A474="","",IF(K474="",IFERROR(INDEX(Products!$S$3:$S$302,MATCH(A474,Products!$A$3:$A$302,0)),"Product not found"),K474-IF(L474="Percentage",ROUND(K474*N(M474)/100,2),IF(L474="Fixed amount",N(M474),0))))</f>
        <v/>
      </c>
      <c r="O474" s="17"/>
    </row>
    <row r="475" spans="1:15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8"/>
      <c r="L475" s="16"/>
      <c r="M475" s="16"/>
      <c r="N475" s="19" t="str">
        <f>IF(A475="","",IF(K475="",IFERROR(INDEX(Products!$S$3:$S$302,MATCH(A475,Products!$A$3:$A$302,0)),"Product not found"),K475-IF(L475="Percentage",ROUND(K475*N(M475)/100,2),IF(L475="Fixed amount",N(M475),0))))</f>
        <v/>
      </c>
      <c r="O475" s="17"/>
    </row>
    <row r="476" spans="1:15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8"/>
      <c r="L476" s="16"/>
      <c r="M476" s="16"/>
      <c r="N476" s="19" t="str">
        <f>IF(A476="","",IF(K476="",IFERROR(INDEX(Products!$S$3:$S$302,MATCH(A476,Products!$A$3:$A$302,0)),"Product not found"),K476-IF(L476="Percentage",ROUND(K476*N(M476)/100,2),IF(L476="Fixed amount",N(M476),0))))</f>
        <v/>
      </c>
      <c r="O476" s="17"/>
    </row>
    <row r="477" spans="1:15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8"/>
      <c r="L477" s="16"/>
      <c r="M477" s="16"/>
      <c r="N477" s="19" t="str">
        <f>IF(A477="","",IF(K477="",IFERROR(INDEX(Products!$S$3:$S$302,MATCH(A477,Products!$A$3:$A$302,0)),"Product not found"),K477-IF(L477="Percentage",ROUND(K477*N(M477)/100,2),IF(L477="Fixed amount",N(M477),0))))</f>
        <v/>
      </c>
      <c r="O477" s="17"/>
    </row>
    <row r="478" spans="1:15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8"/>
      <c r="L478" s="16"/>
      <c r="M478" s="16"/>
      <c r="N478" s="19" t="str">
        <f>IF(A478="","",IF(K478="",IFERROR(INDEX(Products!$S$3:$S$302,MATCH(A478,Products!$A$3:$A$302,0)),"Product not found"),K478-IF(L478="Percentage",ROUND(K478*N(M478)/100,2),IF(L478="Fixed amount",N(M478),0))))</f>
        <v/>
      </c>
      <c r="O478" s="17"/>
    </row>
    <row r="479" spans="1:15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8"/>
      <c r="L479" s="16"/>
      <c r="M479" s="16"/>
      <c r="N479" s="19" t="str">
        <f>IF(A479="","",IF(K479="",IFERROR(INDEX(Products!$S$3:$S$302,MATCH(A479,Products!$A$3:$A$302,0)),"Product not found"),K479-IF(L479="Percentage",ROUND(K479*N(M479)/100,2),IF(L479="Fixed amount",N(M479),0))))</f>
        <v/>
      </c>
      <c r="O479" s="17"/>
    </row>
    <row r="480" spans="1:15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8"/>
      <c r="L480" s="16"/>
      <c r="M480" s="16"/>
      <c r="N480" s="19" t="str">
        <f>IF(A480="","",IF(K480="",IFERROR(INDEX(Products!$S$3:$S$302,MATCH(A480,Products!$A$3:$A$302,0)),"Product not found"),K480-IF(L480="Percentage",ROUND(K480*N(M480)/100,2),IF(L480="Fixed amount",N(M480),0))))</f>
        <v/>
      </c>
      <c r="O480" s="17"/>
    </row>
    <row r="481" spans="1:15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8"/>
      <c r="L481" s="16"/>
      <c r="M481" s="16"/>
      <c r="N481" s="19" t="str">
        <f>IF(A481="","",IF(K481="",IFERROR(INDEX(Products!$S$3:$S$302,MATCH(A481,Products!$A$3:$A$302,0)),"Product not found"),K481-IF(L481="Percentage",ROUND(K481*N(M481)/100,2),IF(L481="Fixed amount",N(M481),0))))</f>
        <v/>
      </c>
      <c r="O481" s="17"/>
    </row>
    <row r="482" spans="1:15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8"/>
      <c r="L482" s="16"/>
      <c r="M482" s="16"/>
      <c r="N482" s="19" t="str">
        <f>IF(A482="","",IF(K482="",IFERROR(INDEX(Products!$S$3:$S$302,MATCH(A482,Products!$A$3:$A$302,0)),"Product not found"),K482-IF(L482="Percentage",ROUND(K482*N(M482)/100,2),IF(L482="Fixed amount",N(M482),0))))</f>
        <v/>
      </c>
      <c r="O482" s="17"/>
    </row>
    <row r="483" spans="1:15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8"/>
      <c r="L483" s="16"/>
      <c r="M483" s="16"/>
      <c r="N483" s="19" t="str">
        <f>IF(A483="","",IF(K483="",IFERROR(INDEX(Products!$S$3:$S$302,MATCH(A483,Products!$A$3:$A$302,0)),"Product not found"),K483-IF(L483="Percentage",ROUND(K483*N(M483)/100,2),IF(L483="Fixed amount",N(M483),0))))</f>
        <v/>
      </c>
      <c r="O483" s="17"/>
    </row>
    <row r="484" spans="1:15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8"/>
      <c r="L484" s="16"/>
      <c r="M484" s="16"/>
      <c r="N484" s="19" t="str">
        <f>IF(A484="","",IF(K484="",IFERROR(INDEX(Products!$S$3:$S$302,MATCH(A484,Products!$A$3:$A$302,0)),"Product not found"),K484-IF(L484="Percentage",ROUND(K484*N(M484)/100,2),IF(L484="Fixed amount",N(M484),0))))</f>
        <v/>
      </c>
      <c r="O484" s="17"/>
    </row>
    <row r="485" spans="1:15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8"/>
      <c r="L485" s="16"/>
      <c r="M485" s="16"/>
      <c r="N485" s="19" t="str">
        <f>IF(A485="","",IF(K485="",IFERROR(INDEX(Products!$S$3:$S$302,MATCH(A485,Products!$A$3:$A$302,0)),"Product not found"),K485-IF(L485="Percentage",ROUND(K485*N(M485)/100,2),IF(L485="Fixed amount",N(M485),0))))</f>
        <v/>
      </c>
      <c r="O485" s="17"/>
    </row>
    <row r="486" spans="1:15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8"/>
      <c r="L486" s="16"/>
      <c r="M486" s="16"/>
      <c r="N486" s="19" t="str">
        <f>IF(A486="","",IF(K486="",IFERROR(INDEX(Products!$S$3:$S$302,MATCH(A486,Products!$A$3:$A$302,0)),"Product not found"),K486-IF(L486="Percentage",ROUND(K486*N(M486)/100,2),IF(L486="Fixed amount",N(M486),0))))</f>
        <v/>
      </c>
      <c r="O486" s="17"/>
    </row>
    <row r="487" spans="1:15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8"/>
      <c r="L487" s="16"/>
      <c r="M487" s="16"/>
      <c r="N487" s="19" t="str">
        <f>IF(A487="","",IF(K487="",IFERROR(INDEX(Products!$S$3:$S$302,MATCH(A487,Products!$A$3:$A$302,0)),"Product not found"),K487-IF(L487="Percentage",ROUND(K487*N(M487)/100,2),IF(L487="Fixed amount",N(M487),0))))</f>
        <v/>
      </c>
      <c r="O487" s="17"/>
    </row>
    <row r="488" spans="1:15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8"/>
      <c r="L488" s="16"/>
      <c r="M488" s="16"/>
      <c r="N488" s="19" t="str">
        <f>IF(A488="","",IF(K488="",IFERROR(INDEX(Products!$S$3:$S$302,MATCH(A488,Products!$A$3:$A$302,0)),"Product not found"),K488-IF(L488="Percentage",ROUND(K488*N(M488)/100,2),IF(L488="Fixed amount",N(M488),0))))</f>
        <v/>
      </c>
      <c r="O488" s="17"/>
    </row>
    <row r="489" spans="1:15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8"/>
      <c r="L489" s="16"/>
      <c r="M489" s="16"/>
      <c r="N489" s="19" t="str">
        <f>IF(A489="","",IF(K489="",IFERROR(INDEX(Products!$S$3:$S$302,MATCH(A489,Products!$A$3:$A$302,0)),"Product not found"),K489-IF(L489="Percentage",ROUND(K489*N(M489)/100,2),IF(L489="Fixed amount",N(M489),0))))</f>
        <v/>
      </c>
      <c r="O489" s="17"/>
    </row>
    <row r="490" spans="1:15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8"/>
      <c r="L490" s="16"/>
      <c r="M490" s="16"/>
      <c r="N490" s="19" t="str">
        <f>IF(A490="","",IF(K490="",IFERROR(INDEX(Products!$S$3:$S$302,MATCH(A490,Products!$A$3:$A$302,0)),"Product not found"),K490-IF(L490="Percentage",ROUND(K490*N(M490)/100,2),IF(L490="Fixed amount",N(M490),0))))</f>
        <v/>
      </c>
      <c r="O490" s="17"/>
    </row>
    <row r="491" spans="1:15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8"/>
      <c r="L491" s="16"/>
      <c r="M491" s="16"/>
      <c r="N491" s="19" t="str">
        <f>IF(A491="","",IF(K491="",IFERROR(INDEX(Products!$S$3:$S$302,MATCH(A491,Products!$A$3:$A$302,0)),"Product not found"),K491-IF(L491="Percentage",ROUND(K491*N(M491)/100,2),IF(L491="Fixed amount",N(M491),0))))</f>
        <v/>
      </c>
      <c r="O491" s="17"/>
    </row>
    <row r="492" spans="1:15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8"/>
      <c r="L492" s="16"/>
      <c r="M492" s="16"/>
      <c r="N492" s="19" t="str">
        <f>IF(A492="","",IF(K492="",IFERROR(INDEX(Products!$S$3:$S$302,MATCH(A492,Products!$A$3:$A$302,0)),"Product not found"),K492-IF(L492="Percentage",ROUND(K492*N(M492)/100,2),IF(L492="Fixed amount",N(M492),0))))</f>
        <v/>
      </c>
      <c r="O492" s="17"/>
    </row>
    <row r="493" spans="1:15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8"/>
      <c r="L493" s="16"/>
      <c r="M493" s="16"/>
      <c r="N493" s="19" t="str">
        <f>IF(A493="","",IF(K493="",IFERROR(INDEX(Products!$S$3:$S$302,MATCH(A493,Products!$A$3:$A$302,0)),"Product not found"),K493-IF(L493="Percentage",ROUND(K493*N(M493)/100,2),IF(L493="Fixed amount",N(M493),0))))</f>
        <v/>
      </c>
      <c r="O493" s="17"/>
    </row>
    <row r="494" spans="1:15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8"/>
      <c r="L494" s="16"/>
      <c r="M494" s="16"/>
      <c r="N494" s="19" t="str">
        <f>IF(A494="","",IF(K494="",IFERROR(INDEX(Products!$S$3:$S$302,MATCH(A494,Products!$A$3:$A$302,0)),"Product not found"),K494-IF(L494="Percentage",ROUND(K494*N(M494)/100,2),IF(L494="Fixed amount",N(M494),0))))</f>
        <v/>
      </c>
      <c r="O494" s="17"/>
    </row>
    <row r="495" spans="1:15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8"/>
      <c r="L495" s="16"/>
      <c r="M495" s="16"/>
      <c r="N495" s="19" t="str">
        <f>IF(A495="","",IF(K495="",IFERROR(INDEX(Products!$S$3:$S$302,MATCH(A495,Products!$A$3:$A$302,0)),"Product not found"),K495-IF(L495="Percentage",ROUND(K495*N(M495)/100,2),IF(L495="Fixed amount",N(M495),0))))</f>
        <v/>
      </c>
      <c r="O495" s="17"/>
    </row>
    <row r="496" spans="1:15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8"/>
      <c r="L496" s="16"/>
      <c r="M496" s="16"/>
      <c r="N496" s="19" t="str">
        <f>IF(A496="","",IF(K496="",IFERROR(INDEX(Products!$S$3:$S$302,MATCH(A496,Products!$A$3:$A$302,0)),"Product not found"),K496-IF(L496="Percentage",ROUND(K496*N(M496)/100,2),IF(L496="Fixed amount",N(M496),0))))</f>
        <v/>
      </c>
      <c r="O496" s="17"/>
    </row>
    <row r="497" spans="1:15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8"/>
      <c r="L497" s="16"/>
      <c r="M497" s="16"/>
      <c r="N497" s="19" t="str">
        <f>IF(A497="","",IF(K497="",IFERROR(INDEX(Products!$S$3:$S$302,MATCH(A497,Products!$A$3:$A$302,0)),"Product not found"),K497-IF(L497="Percentage",ROUND(K497*N(M497)/100,2),IF(L497="Fixed amount",N(M497),0))))</f>
        <v/>
      </c>
      <c r="O497" s="17"/>
    </row>
    <row r="498" spans="1:15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8"/>
      <c r="L498" s="16"/>
      <c r="M498" s="16"/>
      <c r="N498" s="19" t="str">
        <f>IF(A498="","",IF(K498="",IFERROR(INDEX(Products!$S$3:$S$302,MATCH(A498,Products!$A$3:$A$302,0)),"Product not found"),K498-IF(L498="Percentage",ROUND(K498*N(M498)/100,2),IF(L498="Fixed amount",N(M498),0))))</f>
        <v/>
      </c>
      <c r="O498" s="17"/>
    </row>
    <row r="499" spans="1:15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8"/>
      <c r="L499" s="16"/>
      <c r="M499" s="16"/>
      <c r="N499" s="19" t="str">
        <f>IF(A499="","",IF(K499="",IFERROR(INDEX(Products!$S$3:$S$302,MATCH(A499,Products!$A$3:$A$302,0)),"Product not found"),K499-IF(L499="Percentage",ROUND(K499*N(M499)/100,2),IF(L499="Fixed amount",N(M499),0))))</f>
        <v/>
      </c>
      <c r="O499" s="17"/>
    </row>
    <row r="500" spans="1:15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8"/>
      <c r="L500" s="16"/>
      <c r="M500" s="16"/>
      <c r="N500" s="19" t="str">
        <f>IF(A500="","",IF(K500="",IFERROR(INDEX(Products!$S$3:$S$302,MATCH(A500,Products!$A$3:$A$302,0)),"Product not found"),K500-IF(L500="Percentage",ROUND(K500*N(M500)/100,2),IF(L500="Fixed amount",N(M500),0))))</f>
        <v/>
      </c>
      <c r="O500" s="17"/>
    </row>
    <row r="501" spans="1:15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8"/>
      <c r="L501" s="16"/>
      <c r="M501" s="16"/>
      <c r="N501" s="19" t="str">
        <f>IF(A501="","",IF(K501="",IFERROR(INDEX(Products!$S$3:$S$302,MATCH(A501,Products!$A$3:$A$302,0)),"Product not found"),K501-IF(L501="Percentage",ROUND(K501*N(M501)/100,2),IF(L501="Fixed amount",N(M501),0))))</f>
        <v/>
      </c>
      <c r="O501" s="17"/>
    </row>
    <row r="502" spans="1:15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8"/>
      <c r="L502" s="16"/>
      <c r="M502" s="16"/>
      <c r="N502" s="19" t="str">
        <f>IF(A502="","",IF(K502="",IFERROR(INDEX(Products!$S$3:$S$302,MATCH(A502,Products!$A$3:$A$302,0)),"Product not found"),K502-IF(L502="Percentage",ROUND(K502*N(M502)/100,2),IF(L502="Fixed amount",N(M502),0))))</f>
        <v/>
      </c>
      <c r="O502" s="17"/>
    </row>
    <row r="503" spans="1:15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8"/>
      <c r="L503" s="16"/>
      <c r="M503" s="16"/>
      <c r="N503" s="19" t="str">
        <f>IF(A503="","",IF(K503="",IFERROR(INDEX(Products!$S$3:$S$302,MATCH(A503,Products!$A$3:$A$302,0)),"Product not found"),K503-IF(L503="Percentage",ROUND(K503*N(M503)/100,2),IF(L503="Fixed amount",N(M503),0))))</f>
        <v/>
      </c>
      <c r="O503" s="17"/>
    </row>
    <row r="504" spans="1:15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8"/>
      <c r="L504" s="16"/>
      <c r="M504" s="16"/>
      <c r="N504" s="19" t="str">
        <f>IF(A504="","",IF(K504="",IFERROR(INDEX(Products!$S$3:$S$302,MATCH(A504,Products!$A$3:$A$302,0)),"Product not found"),K504-IF(L504="Percentage",ROUND(K504*N(M504)/100,2),IF(L504="Fixed amount",N(M504),0))))</f>
        <v/>
      </c>
      <c r="O504" s="17"/>
    </row>
    <row r="505" spans="1:15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8"/>
      <c r="L505" s="16"/>
      <c r="M505" s="16"/>
      <c r="N505" s="19" t="str">
        <f>IF(A505="","",IF(K505="",IFERROR(INDEX(Products!$S$3:$S$302,MATCH(A505,Products!$A$3:$A$302,0)),"Product not found"),K505-IF(L505="Percentage",ROUND(K505*N(M505)/100,2),IF(L505="Fixed amount",N(M505),0))))</f>
        <v/>
      </c>
      <c r="O505" s="17"/>
    </row>
    <row r="506" spans="1:15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8"/>
      <c r="L506" s="16"/>
      <c r="M506" s="16"/>
      <c r="N506" s="19" t="str">
        <f>IF(A506="","",IF(K506="",IFERROR(INDEX(Products!$S$3:$S$302,MATCH(A506,Products!$A$3:$A$302,0)),"Product not found"),K506-IF(L506="Percentage",ROUND(K506*N(M506)/100,2),IF(L506="Fixed amount",N(M506),0))))</f>
        <v/>
      </c>
      <c r="O506" s="17"/>
    </row>
    <row r="507" spans="1:15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8"/>
      <c r="L507" s="16"/>
      <c r="M507" s="16"/>
      <c r="N507" s="19" t="str">
        <f>IF(A507="","",IF(K507="",IFERROR(INDEX(Products!$S$3:$S$302,MATCH(A507,Products!$A$3:$A$302,0)),"Product not found"),K507-IF(L507="Percentage",ROUND(K507*N(M507)/100,2),IF(L507="Fixed amount",N(M507),0))))</f>
        <v/>
      </c>
      <c r="O507" s="17"/>
    </row>
    <row r="508" spans="1:15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8"/>
      <c r="L508" s="16"/>
      <c r="M508" s="16"/>
      <c r="N508" s="19" t="str">
        <f>IF(A508="","",IF(K508="",IFERROR(INDEX(Products!$S$3:$S$302,MATCH(A508,Products!$A$3:$A$302,0)),"Product not found"),K508-IF(L508="Percentage",ROUND(K508*N(M508)/100,2),IF(L508="Fixed amount",N(M508),0))))</f>
        <v/>
      </c>
      <c r="O508" s="17"/>
    </row>
    <row r="509" spans="1:15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8"/>
      <c r="L509" s="16"/>
      <c r="M509" s="16"/>
      <c r="N509" s="19" t="str">
        <f>IF(A509="","",IF(K509="",IFERROR(INDEX(Products!$S$3:$S$302,MATCH(A509,Products!$A$3:$A$302,0)),"Product not found"),K509-IF(L509="Percentage",ROUND(K509*N(M509)/100,2),IF(L509="Fixed amount",N(M509),0))))</f>
        <v/>
      </c>
      <c r="O509" s="17"/>
    </row>
    <row r="510" spans="1:15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8"/>
      <c r="L510" s="16"/>
      <c r="M510" s="16"/>
      <c r="N510" s="19" t="str">
        <f>IF(A510="","",IF(K510="",IFERROR(INDEX(Products!$S$3:$S$302,MATCH(A510,Products!$A$3:$A$302,0)),"Product not found"),K510-IF(L510="Percentage",ROUND(K510*N(M510)/100,2),IF(L510="Fixed amount",N(M510),0))))</f>
        <v/>
      </c>
      <c r="O510" s="17"/>
    </row>
    <row r="511" spans="1:15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8"/>
      <c r="L511" s="16"/>
      <c r="M511" s="16"/>
      <c r="N511" s="19" t="str">
        <f>IF(A511="","",IF(K511="",IFERROR(INDEX(Products!$S$3:$S$302,MATCH(A511,Products!$A$3:$A$302,0)),"Product not found"),K511-IF(L511="Percentage",ROUND(K511*N(M511)/100,2),IF(L511="Fixed amount",N(M511),0))))</f>
        <v/>
      </c>
      <c r="O511" s="17"/>
    </row>
    <row r="512" spans="1:15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8"/>
      <c r="L512" s="16"/>
      <c r="M512" s="16"/>
      <c r="N512" s="19" t="str">
        <f>IF(A512="","",IF(K512="",IFERROR(INDEX(Products!$S$3:$S$302,MATCH(A512,Products!$A$3:$A$302,0)),"Product not found"),K512-IF(L512="Percentage",ROUND(K512*N(M512)/100,2),IF(L512="Fixed amount",N(M512),0))))</f>
        <v/>
      </c>
      <c r="O512" s="17"/>
    </row>
    <row r="513" spans="1:15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8"/>
      <c r="L513" s="16"/>
      <c r="M513" s="16"/>
      <c r="N513" s="19" t="str">
        <f>IF(A513="","",IF(K513="",IFERROR(INDEX(Products!$S$3:$S$302,MATCH(A513,Products!$A$3:$A$302,0)),"Product not found"),K513-IF(L513="Percentage",ROUND(K513*N(M513)/100,2),IF(L513="Fixed amount",N(M513),0))))</f>
        <v/>
      </c>
      <c r="O513" s="17"/>
    </row>
    <row r="514" spans="1:15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8"/>
      <c r="L514" s="16"/>
      <c r="M514" s="16"/>
      <c r="N514" s="19" t="str">
        <f>IF(A514="","",IF(K514="",IFERROR(INDEX(Products!$S$3:$S$302,MATCH(A514,Products!$A$3:$A$302,0)),"Product not found"),K514-IF(L514="Percentage",ROUND(K514*N(M514)/100,2),IF(L514="Fixed amount",N(M514),0))))</f>
        <v/>
      </c>
      <c r="O514" s="17"/>
    </row>
    <row r="515" spans="1:15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8"/>
      <c r="L515" s="16"/>
      <c r="M515" s="16"/>
      <c r="N515" s="19" t="str">
        <f>IF(A515="","",IF(K515="",IFERROR(INDEX(Products!$S$3:$S$302,MATCH(A515,Products!$A$3:$A$302,0)),"Product not found"),K515-IF(L515="Percentage",ROUND(K515*N(M515)/100,2),IF(L515="Fixed amount",N(M515),0))))</f>
        <v/>
      </c>
      <c r="O515" s="17"/>
    </row>
    <row r="516" spans="1:15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8"/>
      <c r="L516" s="16"/>
      <c r="M516" s="16"/>
      <c r="N516" s="19" t="str">
        <f>IF(A516="","",IF(K516="",IFERROR(INDEX(Products!$S$3:$S$302,MATCH(A516,Products!$A$3:$A$302,0)),"Product not found"),K516-IF(L516="Percentage",ROUND(K516*N(M516)/100,2),IF(L516="Fixed amount",N(M516),0))))</f>
        <v/>
      </c>
      <c r="O516" s="17"/>
    </row>
    <row r="517" spans="1:15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8"/>
      <c r="L517" s="16"/>
      <c r="M517" s="16"/>
      <c r="N517" s="19" t="str">
        <f>IF(A517="","",IF(K517="",IFERROR(INDEX(Products!$S$3:$S$302,MATCH(A517,Products!$A$3:$A$302,0)),"Product not found"),K517-IF(L517="Percentage",ROUND(K517*N(M517)/100,2),IF(L517="Fixed amount",N(M517),0))))</f>
        <v/>
      </c>
      <c r="O517" s="17"/>
    </row>
    <row r="518" spans="1:15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8"/>
      <c r="L518" s="16"/>
      <c r="M518" s="16"/>
      <c r="N518" s="19" t="str">
        <f>IF(A518="","",IF(K518="",IFERROR(INDEX(Products!$S$3:$S$302,MATCH(A518,Products!$A$3:$A$302,0)),"Product not found"),K518-IF(L518="Percentage",ROUND(K518*N(M518)/100,2),IF(L518="Fixed amount",N(M518),0))))</f>
        <v/>
      </c>
      <c r="O518" s="17"/>
    </row>
    <row r="519" spans="1:15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8"/>
      <c r="L519" s="16"/>
      <c r="M519" s="16"/>
      <c r="N519" s="19" t="str">
        <f>IF(A519="","",IF(K519="",IFERROR(INDEX(Products!$S$3:$S$302,MATCH(A519,Products!$A$3:$A$302,0)),"Product not found"),K519-IF(L519="Percentage",ROUND(K519*N(M519)/100,2),IF(L519="Fixed amount",N(M519),0))))</f>
        <v/>
      </c>
      <c r="O519" s="17"/>
    </row>
    <row r="520" spans="1:15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8"/>
      <c r="L520" s="16"/>
      <c r="M520" s="16"/>
      <c r="N520" s="19" t="str">
        <f>IF(A520="","",IF(K520="",IFERROR(INDEX(Products!$S$3:$S$302,MATCH(A520,Products!$A$3:$A$302,0)),"Product not found"),K520-IF(L520="Percentage",ROUND(K520*N(M520)/100,2),IF(L520="Fixed amount",N(M520),0))))</f>
        <v/>
      </c>
      <c r="O520" s="17"/>
    </row>
    <row r="521" spans="1:15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8"/>
      <c r="L521" s="16"/>
      <c r="M521" s="16"/>
      <c r="N521" s="19" t="str">
        <f>IF(A521="","",IF(K521="",IFERROR(INDEX(Products!$S$3:$S$302,MATCH(A521,Products!$A$3:$A$302,0)),"Product not found"),K521-IF(L521="Percentage",ROUND(K521*N(M521)/100,2),IF(L521="Fixed amount",N(M521),0))))</f>
        <v/>
      </c>
      <c r="O521" s="17"/>
    </row>
    <row r="522" spans="1:15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8"/>
      <c r="L522" s="16"/>
      <c r="M522" s="16"/>
      <c r="N522" s="19" t="str">
        <f>IF(A522="","",IF(K522="",IFERROR(INDEX(Products!$S$3:$S$302,MATCH(A522,Products!$A$3:$A$302,0)),"Product not found"),K522-IF(L522="Percentage",ROUND(K522*N(M522)/100,2),IF(L522="Fixed amount",N(M522),0))))</f>
        <v/>
      </c>
      <c r="O522" s="17"/>
    </row>
    <row r="523" spans="1:15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8"/>
      <c r="L523" s="16"/>
      <c r="M523" s="16"/>
      <c r="N523" s="19" t="str">
        <f>IF(A523="","",IF(K523="",IFERROR(INDEX(Products!$S$3:$S$302,MATCH(A523,Products!$A$3:$A$302,0)),"Product not found"),K523-IF(L523="Percentage",ROUND(K523*N(M523)/100,2),IF(L523="Fixed amount",N(M523),0))))</f>
        <v/>
      </c>
      <c r="O523" s="17"/>
    </row>
    <row r="524" spans="1:15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8"/>
      <c r="L524" s="16"/>
      <c r="M524" s="16"/>
      <c r="N524" s="19" t="str">
        <f>IF(A524="","",IF(K524="",IFERROR(INDEX(Products!$S$3:$S$302,MATCH(A524,Products!$A$3:$A$302,0)),"Product not found"),K524-IF(L524="Percentage",ROUND(K524*N(M524)/100,2),IF(L524="Fixed amount",N(M524),0))))</f>
        <v/>
      </c>
      <c r="O524" s="17"/>
    </row>
    <row r="525" spans="1:15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8"/>
      <c r="L525" s="16"/>
      <c r="M525" s="16"/>
      <c r="N525" s="19" t="str">
        <f>IF(A525="","",IF(K525="",IFERROR(INDEX(Products!$S$3:$S$302,MATCH(A525,Products!$A$3:$A$302,0)),"Product not found"),K525-IF(L525="Percentage",ROUND(K525*N(M525)/100,2),IF(L525="Fixed amount",N(M525),0))))</f>
        <v/>
      </c>
      <c r="O525" s="17"/>
    </row>
    <row r="526" spans="1:15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8"/>
      <c r="L526" s="16"/>
      <c r="M526" s="16"/>
      <c r="N526" s="19" t="str">
        <f>IF(A526="","",IF(K526="",IFERROR(INDEX(Products!$S$3:$S$302,MATCH(A526,Products!$A$3:$A$302,0)),"Product not found"),K526-IF(L526="Percentage",ROUND(K526*N(M526)/100,2),IF(L526="Fixed amount",N(M526),0))))</f>
        <v/>
      </c>
      <c r="O526" s="17"/>
    </row>
    <row r="527" spans="1:15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8"/>
      <c r="L527" s="16"/>
      <c r="M527" s="16"/>
      <c r="N527" s="19" t="str">
        <f>IF(A527="","",IF(K527="",IFERROR(INDEX(Products!$S$3:$S$302,MATCH(A527,Products!$A$3:$A$302,0)),"Product not found"),K527-IF(L527="Percentage",ROUND(K527*N(M527)/100,2),IF(L527="Fixed amount",N(M527),0))))</f>
        <v/>
      </c>
      <c r="O527" s="17"/>
    </row>
    <row r="528" spans="1:15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8"/>
      <c r="L528" s="16"/>
      <c r="M528" s="16"/>
      <c r="N528" s="19" t="str">
        <f>IF(A528="","",IF(K528="",IFERROR(INDEX(Products!$S$3:$S$302,MATCH(A528,Products!$A$3:$A$302,0)),"Product not found"),K528-IF(L528="Percentage",ROUND(K528*N(M528)/100,2),IF(L528="Fixed amount",N(M528),0))))</f>
        <v/>
      </c>
      <c r="O528" s="17"/>
    </row>
    <row r="529" spans="1:15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8"/>
      <c r="L529" s="16"/>
      <c r="M529" s="16"/>
      <c r="N529" s="19" t="str">
        <f>IF(A529="","",IF(K529="",IFERROR(INDEX(Products!$S$3:$S$302,MATCH(A529,Products!$A$3:$A$302,0)),"Product not found"),K529-IF(L529="Percentage",ROUND(K529*N(M529)/100,2),IF(L529="Fixed amount",N(M529),0))))</f>
        <v/>
      </c>
      <c r="O529" s="17"/>
    </row>
    <row r="530" spans="1:15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8"/>
      <c r="L530" s="16"/>
      <c r="M530" s="16"/>
      <c r="N530" s="19" t="str">
        <f>IF(A530="","",IF(K530="",IFERROR(INDEX(Products!$S$3:$S$302,MATCH(A530,Products!$A$3:$A$302,0)),"Product not found"),K530-IF(L530="Percentage",ROUND(K530*N(M530)/100,2),IF(L530="Fixed amount",N(M530),0))))</f>
        <v/>
      </c>
      <c r="O530" s="17"/>
    </row>
    <row r="531" spans="1:15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8"/>
      <c r="L531" s="16"/>
      <c r="M531" s="16"/>
      <c r="N531" s="19" t="str">
        <f>IF(A531="","",IF(K531="",IFERROR(INDEX(Products!$S$3:$S$302,MATCH(A531,Products!$A$3:$A$302,0)),"Product not found"),K531-IF(L531="Percentage",ROUND(K531*N(M531)/100,2),IF(L531="Fixed amount",N(M531),0))))</f>
        <v/>
      </c>
      <c r="O531" s="17"/>
    </row>
    <row r="532" spans="1:15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8"/>
      <c r="L532" s="16"/>
      <c r="M532" s="16"/>
      <c r="N532" s="19" t="str">
        <f>IF(A532="","",IF(K532="",IFERROR(INDEX(Products!$S$3:$S$302,MATCH(A532,Products!$A$3:$A$302,0)),"Product not found"),K532-IF(L532="Percentage",ROUND(K532*N(M532)/100,2),IF(L532="Fixed amount",N(M532),0))))</f>
        <v/>
      </c>
      <c r="O532" s="17"/>
    </row>
    <row r="533" spans="1:15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8"/>
      <c r="L533" s="16"/>
      <c r="M533" s="16"/>
      <c r="N533" s="19" t="str">
        <f>IF(A533="","",IF(K533="",IFERROR(INDEX(Products!$S$3:$S$302,MATCH(A533,Products!$A$3:$A$302,0)),"Product not found"),K533-IF(L533="Percentage",ROUND(K533*N(M533)/100,2),IF(L533="Fixed amount",N(M533),0))))</f>
        <v/>
      </c>
      <c r="O533" s="17"/>
    </row>
    <row r="534" spans="1:15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8"/>
      <c r="L534" s="16"/>
      <c r="M534" s="16"/>
      <c r="N534" s="19" t="str">
        <f>IF(A534="","",IF(K534="",IFERROR(INDEX(Products!$S$3:$S$302,MATCH(A534,Products!$A$3:$A$302,0)),"Product not found"),K534-IF(L534="Percentage",ROUND(K534*N(M534)/100,2),IF(L534="Fixed amount",N(M534),0))))</f>
        <v/>
      </c>
      <c r="O534" s="17"/>
    </row>
    <row r="535" spans="1:15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8"/>
      <c r="L535" s="16"/>
      <c r="M535" s="16"/>
      <c r="N535" s="19" t="str">
        <f>IF(A535="","",IF(K535="",IFERROR(INDEX(Products!$S$3:$S$302,MATCH(A535,Products!$A$3:$A$302,0)),"Product not found"),K535-IF(L535="Percentage",ROUND(K535*N(M535)/100,2),IF(L535="Fixed amount",N(M535),0))))</f>
        <v/>
      </c>
      <c r="O535" s="17"/>
    </row>
    <row r="536" spans="1:15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8"/>
      <c r="L536" s="16"/>
      <c r="M536" s="16"/>
      <c r="N536" s="19" t="str">
        <f>IF(A536="","",IF(K536="",IFERROR(INDEX(Products!$S$3:$S$302,MATCH(A536,Products!$A$3:$A$302,0)),"Product not found"),K536-IF(L536="Percentage",ROUND(K536*N(M536)/100,2),IF(L536="Fixed amount",N(M536),0))))</f>
        <v/>
      </c>
      <c r="O536" s="17"/>
    </row>
    <row r="537" spans="1:15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8"/>
      <c r="L537" s="16"/>
      <c r="M537" s="16"/>
      <c r="N537" s="19" t="str">
        <f>IF(A537="","",IF(K537="",IFERROR(INDEX(Products!$S$3:$S$302,MATCH(A537,Products!$A$3:$A$302,0)),"Product not found"),K537-IF(L537="Percentage",ROUND(K537*N(M537)/100,2),IF(L537="Fixed amount",N(M537),0))))</f>
        <v/>
      </c>
      <c r="O537" s="17"/>
    </row>
    <row r="538" spans="1:15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8"/>
      <c r="L538" s="16"/>
      <c r="M538" s="16"/>
      <c r="N538" s="19" t="str">
        <f>IF(A538="","",IF(K538="",IFERROR(INDEX(Products!$S$3:$S$302,MATCH(A538,Products!$A$3:$A$302,0)),"Product not found"),K538-IF(L538="Percentage",ROUND(K538*N(M538)/100,2),IF(L538="Fixed amount",N(M538),0))))</f>
        <v/>
      </c>
      <c r="O538" s="17"/>
    </row>
    <row r="539" spans="1:15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8"/>
      <c r="L539" s="16"/>
      <c r="M539" s="16"/>
      <c r="N539" s="19" t="str">
        <f>IF(A539="","",IF(K539="",IFERROR(INDEX(Products!$S$3:$S$302,MATCH(A539,Products!$A$3:$A$302,0)),"Product not found"),K539-IF(L539="Percentage",ROUND(K539*N(M539)/100,2),IF(L539="Fixed amount",N(M539),0))))</f>
        <v/>
      </c>
      <c r="O539" s="17"/>
    </row>
    <row r="540" spans="1:15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8"/>
      <c r="L540" s="16"/>
      <c r="M540" s="16"/>
      <c r="N540" s="19" t="str">
        <f>IF(A540="","",IF(K540="",IFERROR(INDEX(Products!$S$3:$S$302,MATCH(A540,Products!$A$3:$A$302,0)),"Product not found"),K540-IF(L540="Percentage",ROUND(K540*N(M540)/100,2),IF(L540="Fixed amount",N(M540),0))))</f>
        <v/>
      </c>
      <c r="O540" s="17"/>
    </row>
    <row r="541" spans="1:15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8"/>
      <c r="L541" s="16"/>
      <c r="M541" s="16"/>
      <c r="N541" s="19" t="str">
        <f>IF(A541="","",IF(K541="",IFERROR(INDEX(Products!$S$3:$S$302,MATCH(A541,Products!$A$3:$A$302,0)),"Product not found"),K541-IF(L541="Percentage",ROUND(K541*N(M541)/100,2),IF(L541="Fixed amount",N(M541),0))))</f>
        <v/>
      </c>
      <c r="O541" s="17"/>
    </row>
    <row r="542" spans="1:15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8"/>
      <c r="L542" s="16"/>
      <c r="M542" s="16"/>
      <c r="N542" s="19" t="str">
        <f>IF(A542="","",IF(K542="",IFERROR(INDEX(Products!$S$3:$S$302,MATCH(A542,Products!$A$3:$A$302,0)),"Product not found"),K542-IF(L542="Percentage",ROUND(K542*N(M542)/100,2),IF(L542="Fixed amount",N(M542),0))))</f>
        <v/>
      </c>
      <c r="O542" s="17"/>
    </row>
    <row r="543" spans="1:15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8"/>
      <c r="L543" s="16"/>
      <c r="M543" s="16"/>
      <c r="N543" s="19" t="str">
        <f>IF(A543="","",IF(K543="",IFERROR(INDEX(Products!$S$3:$S$302,MATCH(A543,Products!$A$3:$A$302,0)),"Product not found"),K543-IF(L543="Percentage",ROUND(K543*N(M543)/100,2),IF(L543="Fixed amount",N(M543),0))))</f>
        <v/>
      </c>
      <c r="O543" s="17"/>
    </row>
    <row r="544" spans="1:15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8"/>
      <c r="L544" s="16"/>
      <c r="M544" s="16"/>
      <c r="N544" s="19" t="str">
        <f>IF(A544="","",IF(K544="",IFERROR(INDEX(Products!$S$3:$S$302,MATCH(A544,Products!$A$3:$A$302,0)),"Product not found"),K544-IF(L544="Percentage",ROUND(K544*N(M544)/100,2),IF(L544="Fixed amount",N(M544),0))))</f>
        <v/>
      </c>
      <c r="O544" s="17"/>
    </row>
    <row r="545" spans="1:15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8"/>
      <c r="L545" s="16"/>
      <c r="M545" s="16"/>
      <c r="N545" s="19" t="str">
        <f>IF(A545="","",IF(K545="",IFERROR(INDEX(Products!$S$3:$S$302,MATCH(A545,Products!$A$3:$A$302,0)),"Product not found"),K545-IF(L545="Percentage",ROUND(K545*N(M545)/100,2),IF(L545="Fixed amount",N(M545),0))))</f>
        <v/>
      </c>
      <c r="O545" s="17"/>
    </row>
    <row r="546" spans="1:15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8"/>
      <c r="L546" s="16"/>
      <c r="M546" s="16"/>
      <c r="N546" s="19" t="str">
        <f>IF(A546="","",IF(K546="",IFERROR(INDEX(Products!$S$3:$S$302,MATCH(A546,Products!$A$3:$A$302,0)),"Product not found"),K546-IF(L546="Percentage",ROUND(K546*N(M546)/100,2),IF(L546="Fixed amount",N(M546),0))))</f>
        <v/>
      </c>
      <c r="O546" s="17"/>
    </row>
    <row r="547" spans="1:15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8"/>
      <c r="L547" s="16"/>
      <c r="M547" s="16"/>
      <c r="N547" s="19" t="str">
        <f>IF(A547="","",IF(K547="",IFERROR(INDEX(Products!$S$3:$S$302,MATCH(A547,Products!$A$3:$A$302,0)),"Product not found"),K547-IF(L547="Percentage",ROUND(K547*N(M547)/100,2),IF(L547="Fixed amount",N(M547),0))))</f>
        <v/>
      </c>
      <c r="O547" s="17"/>
    </row>
    <row r="548" spans="1:15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8"/>
      <c r="L548" s="16"/>
      <c r="M548" s="16"/>
      <c r="N548" s="19" t="str">
        <f>IF(A548="","",IF(K548="",IFERROR(INDEX(Products!$S$3:$S$302,MATCH(A548,Products!$A$3:$A$302,0)),"Product not found"),K548-IF(L548="Percentage",ROUND(K548*N(M548)/100,2),IF(L548="Fixed amount",N(M548),0))))</f>
        <v/>
      </c>
      <c r="O548" s="17"/>
    </row>
    <row r="549" spans="1:15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8"/>
      <c r="L549" s="16"/>
      <c r="M549" s="16"/>
      <c r="N549" s="19" t="str">
        <f>IF(A549="","",IF(K549="",IFERROR(INDEX(Products!$S$3:$S$302,MATCH(A549,Products!$A$3:$A$302,0)),"Product not found"),K549-IF(L549="Percentage",ROUND(K549*N(M549)/100,2),IF(L549="Fixed amount",N(M549),0))))</f>
        <v/>
      </c>
      <c r="O549" s="17"/>
    </row>
    <row r="550" spans="1:15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8"/>
      <c r="L550" s="16"/>
      <c r="M550" s="16"/>
      <c r="N550" s="19" t="str">
        <f>IF(A550="","",IF(K550="",IFERROR(INDEX(Products!$S$3:$S$302,MATCH(A550,Products!$A$3:$A$302,0)),"Product not found"),K550-IF(L550="Percentage",ROUND(K550*N(M550)/100,2),IF(L550="Fixed amount",N(M550),0))))</f>
        <v/>
      </c>
      <c r="O550" s="17"/>
    </row>
    <row r="551" spans="1:15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8"/>
      <c r="L551" s="16"/>
      <c r="M551" s="16"/>
      <c r="N551" s="19" t="str">
        <f>IF(A551="","",IF(K551="",IFERROR(INDEX(Products!$S$3:$S$302,MATCH(A551,Products!$A$3:$A$302,0)),"Product not found"),K551-IF(L551="Percentage",ROUND(K551*N(M551)/100,2),IF(L551="Fixed amount",N(M551),0))))</f>
        <v/>
      </c>
      <c r="O551" s="17"/>
    </row>
    <row r="552" spans="1:15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8"/>
      <c r="L552" s="16"/>
      <c r="M552" s="16"/>
      <c r="N552" s="19" t="str">
        <f>IF(A552="","",IF(K552="",IFERROR(INDEX(Products!$S$3:$S$302,MATCH(A552,Products!$A$3:$A$302,0)),"Product not found"),K552-IF(L552="Percentage",ROUND(K552*N(M552)/100,2),IF(L552="Fixed amount",N(M552),0))))</f>
        <v/>
      </c>
      <c r="O552" s="17"/>
    </row>
    <row r="553" spans="1:15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8"/>
      <c r="L553" s="16"/>
      <c r="M553" s="16"/>
      <c r="N553" s="19" t="str">
        <f>IF(A553="","",IF(K553="",IFERROR(INDEX(Products!$S$3:$S$302,MATCH(A553,Products!$A$3:$A$302,0)),"Product not found"),K553-IF(L553="Percentage",ROUND(K553*N(M553)/100,2),IF(L553="Fixed amount",N(M553),0))))</f>
        <v/>
      </c>
      <c r="O553" s="17"/>
    </row>
    <row r="554" spans="1:15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8"/>
      <c r="L554" s="16"/>
      <c r="M554" s="16"/>
      <c r="N554" s="19" t="str">
        <f>IF(A554="","",IF(K554="",IFERROR(INDEX(Products!$S$3:$S$302,MATCH(A554,Products!$A$3:$A$302,0)),"Product not found"),K554-IF(L554="Percentage",ROUND(K554*N(M554)/100,2),IF(L554="Fixed amount",N(M554),0))))</f>
        <v/>
      </c>
      <c r="O554" s="17"/>
    </row>
    <row r="555" spans="1:15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8"/>
      <c r="L555" s="16"/>
      <c r="M555" s="16"/>
      <c r="N555" s="19" t="str">
        <f>IF(A555="","",IF(K555="",IFERROR(INDEX(Products!$S$3:$S$302,MATCH(A555,Products!$A$3:$A$302,0)),"Product not found"),K555-IF(L555="Percentage",ROUND(K555*N(M555)/100,2),IF(L555="Fixed amount",N(M555),0))))</f>
        <v/>
      </c>
      <c r="O555" s="17"/>
    </row>
    <row r="556" spans="1:15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8"/>
      <c r="L556" s="16"/>
      <c r="M556" s="16"/>
      <c r="N556" s="19" t="str">
        <f>IF(A556="","",IF(K556="",IFERROR(INDEX(Products!$S$3:$S$302,MATCH(A556,Products!$A$3:$A$302,0)),"Product not found"),K556-IF(L556="Percentage",ROUND(K556*N(M556)/100,2),IF(L556="Fixed amount",N(M556),0))))</f>
        <v/>
      </c>
      <c r="O556" s="17"/>
    </row>
    <row r="557" spans="1:15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8"/>
      <c r="L557" s="16"/>
      <c r="M557" s="16"/>
      <c r="N557" s="19" t="str">
        <f>IF(A557="","",IF(K557="",IFERROR(INDEX(Products!$S$3:$S$302,MATCH(A557,Products!$A$3:$A$302,0)),"Product not found"),K557-IF(L557="Percentage",ROUND(K557*N(M557)/100,2),IF(L557="Fixed amount",N(M557),0))))</f>
        <v/>
      </c>
      <c r="O557" s="17"/>
    </row>
    <row r="558" spans="1:15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8"/>
      <c r="L558" s="16"/>
      <c r="M558" s="16"/>
      <c r="N558" s="19" t="str">
        <f>IF(A558="","",IF(K558="",IFERROR(INDEX(Products!$S$3:$S$302,MATCH(A558,Products!$A$3:$A$302,0)),"Product not found"),K558-IF(L558="Percentage",ROUND(K558*N(M558)/100,2),IF(L558="Fixed amount",N(M558),0))))</f>
        <v/>
      </c>
      <c r="O558" s="17"/>
    </row>
    <row r="559" spans="1:15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8"/>
      <c r="L559" s="16"/>
      <c r="M559" s="16"/>
      <c r="N559" s="19" t="str">
        <f>IF(A559="","",IF(K559="",IFERROR(INDEX(Products!$S$3:$S$302,MATCH(A559,Products!$A$3:$A$302,0)),"Product not found"),K559-IF(L559="Percentage",ROUND(K559*N(M559)/100,2),IF(L559="Fixed amount",N(M559),0))))</f>
        <v/>
      </c>
      <c r="O559" s="17"/>
    </row>
    <row r="560" spans="1:15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8"/>
      <c r="L560" s="16"/>
      <c r="M560" s="16"/>
      <c r="N560" s="19" t="str">
        <f>IF(A560="","",IF(K560="",IFERROR(INDEX(Products!$S$3:$S$302,MATCH(A560,Products!$A$3:$A$302,0)),"Product not found"),K560-IF(L560="Percentage",ROUND(K560*N(M560)/100,2),IF(L560="Fixed amount",N(M560),0))))</f>
        <v/>
      </c>
      <c r="O560" s="17"/>
    </row>
    <row r="561" spans="1:15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8"/>
      <c r="L561" s="16"/>
      <c r="M561" s="16"/>
      <c r="N561" s="19" t="str">
        <f>IF(A561="","",IF(K561="",IFERROR(INDEX(Products!$S$3:$S$302,MATCH(A561,Products!$A$3:$A$302,0)),"Product not found"),K561-IF(L561="Percentage",ROUND(K561*N(M561)/100,2),IF(L561="Fixed amount",N(M561),0))))</f>
        <v/>
      </c>
      <c r="O561" s="17"/>
    </row>
    <row r="562" spans="1:15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8"/>
      <c r="L562" s="16"/>
      <c r="M562" s="16"/>
      <c r="N562" s="19" t="str">
        <f>IF(A562="","",IF(K562="",IFERROR(INDEX(Products!$S$3:$S$302,MATCH(A562,Products!$A$3:$A$302,0)),"Product not found"),K562-IF(L562="Percentage",ROUND(K562*N(M562)/100,2),IF(L562="Fixed amount",N(M562),0))))</f>
        <v/>
      </c>
      <c r="O562" s="17"/>
    </row>
    <row r="563" spans="1:15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8"/>
      <c r="L563" s="16"/>
      <c r="M563" s="16"/>
      <c r="N563" s="19" t="str">
        <f>IF(A563="","",IF(K563="",IFERROR(INDEX(Products!$S$3:$S$302,MATCH(A563,Products!$A$3:$A$302,0)),"Product not found"),K563-IF(L563="Percentage",ROUND(K563*N(M563)/100,2),IF(L563="Fixed amount",N(M563),0))))</f>
        <v/>
      </c>
      <c r="O563" s="17"/>
    </row>
    <row r="564" spans="1:15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8"/>
      <c r="L564" s="16"/>
      <c r="M564" s="16"/>
      <c r="N564" s="19" t="str">
        <f>IF(A564="","",IF(K564="",IFERROR(INDEX(Products!$S$3:$S$302,MATCH(A564,Products!$A$3:$A$302,0)),"Product not found"),K564-IF(L564="Percentage",ROUND(K564*N(M564)/100,2),IF(L564="Fixed amount",N(M564),0))))</f>
        <v/>
      </c>
      <c r="O564" s="17"/>
    </row>
    <row r="565" spans="1:15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8"/>
      <c r="L565" s="16"/>
      <c r="M565" s="16"/>
      <c r="N565" s="19" t="str">
        <f>IF(A565="","",IF(K565="",IFERROR(INDEX(Products!$S$3:$S$302,MATCH(A565,Products!$A$3:$A$302,0)),"Product not found"),K565-IF(L565="Percentage",ROUND(K565*N(M565)/100,2),IF(L565="Fixed amount",N(M565),0))))</f>
        <v/>
      </c>
      <c r="O565" s="17"/>
    </row>
    <row r="566" spans="1:15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8"/>
      <c r="L566" s="16"/>
      <c r="M566" s="16"/>
      <c r="N566" s="19" t="str">
        <f>IF(A566="","",IF(K566="",IFERROR(INDEX(Products!$S$3:$S$302,MATCH(A566,Products!$A$3:$A$302,0)),"Product not found"),K566-IF(L566="Percentage",ROUND(K566*N(M566)/100,2),IF(L566="Fixed amount",N(M566),0))))</f>
        <v/>
      </c>
      <c r="O566" s="17"/>
    </row>
    <row r="567" spans="1:15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8"/>
      <c r="L567" s="16"/>
      <c r="M567" s="16"/>
      <c r="N567" s="19" t="str">
        <f>IF(A567="","",IF(K567="",IFERROR(INDEX(Products!$S$3:$S$302,MATCH(A567,Products!$A$3:$A$302,0)),"Product not found"),K567-IF(L567="Percentage",ROUND(K567*N(M567)/100,2),IF(L567="Fixed amount",N(M567),0))))</f>
        <v/>
      </c>
      <c r="O567" s="17"/>
    </row>
    <row r="568" spans="1:15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8"/>
      <c r="L568" s="16"/>
      <c r="M568" s="16"/>
      <c r="N568" s="19" t="str">
        <f>IF(A568="","",IF(K568="",IFERROR(INDEX(Products!$S$3:$S$302,MATCH(A568,Products!$A$3:$A$302,0)),"Product not found"),K568-IF(L568="Percentage",ROUND(K568*N(M568)/100,2),IF(L568="Fixed amount",N(M568),0))))</f>
        <v/>
      </c>
      <c r="O568" s="17"/>
    </row>
    <row r="569" spans="1:15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8"/>
      <c r="L569" s="16"/>
      <c r="M569" s="16"/>
      <c r="N569" s="19" t="str">
        <f>IF(A569="","",IF(K569="",IFERROR(INDEX(Products!$S$3:$S$302,MATCH(A569,Products!$A$3:$A$302,0)),"Product not found"),K569-IF(L569="Percentage",ROUND(K569*N(M569)/100,2),IF(L569="Fixed amount",N(M569),0))))</f>
        <v/>
      </c>
      <c r="O569" s="17"/>
    </row>
    <row r="570" spans="1:15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8"/>
      <c r="L570" s="16"/>
      <c r="M570" s="16"/>
      <c r="N570" s="19" t="str">
        <f>IF(A570="","",IF(K570="",IFERROR(INDEX(Products!$S$3:$S$302,MATCH(A570,Products!$A$3:$A$302,0)),"Product not found"),K570-IF(L570="Percentage",ROUND(K570*N(M570)/100,2),IF(L570="Fixed amount",N(M570),0))))</f>
        <v/>
      </c>
      <c r="O570" s="17"/>
    </row>
    <row r="571" spans="1:15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8"/>
      <c r="L571" s="16"/>
      <c r="M571" s="16"/>
      <c r="N571" s="19" t="str">
        <f>IF(A571="","",IF(K571="",IFERROR(INDEX(Products!$S$3:$S$302,MATCH(A571,Products!$A$3:$A$302,0)),"Product not found"),K571-IF(L571="Percentage",ROUND(K571*N(M571)/100,2),IF(L571="Fixed amount",N(M571),0))))</f>
        <v/>
      </c>
      <c r="O571" s="17"/>
    </row>
    <row r="572" spans="1:15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8"/>
      <c r="L572" s="16"/>
      <c r="M572" s="16"/>
      <c r="N572" s="19" t="str">
        <f>IF(A572="","",IF(K572="",IFERROR(INDEX(Products!$S$3:$S$302,MATCH(A572,Products!$A$3:$A$302,0)),"Product not found"),K572-IF(L572="Percentage",ROUND(K572*N(M572)/100,2),IF(L572="Fixed amount",N(M572),0))))</f>
        <v/>
      </c>
      <c r="O572" s="17"/>
    </row>
    <row r="573" spans="1:15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8"/>
      <c r="L573" s="16"/>
      <c r="M573" s="16"/>
      <c r="N573" s="19" t="str">
        <f>IF(A573="","",IF(K573="",IFERROR(INDEX(Products!$S$3:$S$302,MATCH(A573,Products!$A$3:$A$302,0)),"Product not found"),K573-IF(L573="Percentage",ROUND(K573*N(M573)/100,2),IF(L573="Fixed amount",N(M573),0))))</f>
        <v/>
      </c>
      <c r="O573" s="17"/>
    </row>
    <row r="574" spans="1:15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8"/>
      <c r="L574" s="16"/>
      <c r="M574" s="16"/>
      <c r="N574" s="19" t="str">
        <f>IF(A574="","",IF(K574="",IFERROR(INDEX(Products!$S$3:$S$302,MATCH(A574,Products!$A$3:$A$302,0)),"Product not found"),K574-IF(L574="Percentage",ROUND(K574*N(M574)/100,2),IF(L574="Fixed amount",N(M574),0))))</f>
        <v/>
      </c>
      <c r="O574" s="17"/>
    </row>
    <row r="575" spans="1:15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8"/>
      <c r="L575" s="16"/>
      <c r="M575" s="16"/>
      <c r="N575" s="19" t="str">
        <f>IF(A575="","",IF(K575="",IFERROR(INDEX(Products!$S$3:$S$302,MATCH(A575,Products!$A$3:$A$302,0)),"Product not found"),K575-IF(L575="Percentage",ROUND(K575*N(M575)/100,2),IF(L575="Fixed amount",N(M575),0))))</f>
        <v/>
      </c>
      <c r="O575" s="17"/>
    </row>
    <row r="576" spans="1:15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8"/>
      <c r="L576" s="16"/>
      <c r="M576" s="16"/>
      <c r="N576" s="19" t="str">
        <f>IF(A576="","",IF(K576="",IFERROR(INDEX(Products!$S$3:$S$302,MATCH(A576,Products!$A$3:$A$302,0)),"Product not found"),K576-IF(L576="Percentage",ROUND(K576*N(M576)/100,2),IF(L576="Fixed amount",N(M576),0))))</f>
        <v/>
      </c>
      <c r="O576" s="17"/>
    </row>
    <row r="577" spans="1:15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8"/>
      <c r="L577" s="16"/>
      <c r="M577" s="16"/>
      <c r="N577" s="19" t="str">
        <f>IF(A577="","",IF(K577="",IFERROR(INDEX(Products!$S$3:$S$302,MATCH(A577,Products!$A$3:$A$302,0)),"Product not found"),K577-IF(L577="Percentage",ROUND(K577*N(M577)/100,2),IF(L577="Fixed amount",N(M577),0))))</f>
        <v/>
      </c>
      <c r="O577" s="17"/>
    </row>
    <row r="578" spans="1:15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8"/>
      <c r="L578" s="16"/>
      <c r="M578" s="16"/>
      <c r="N578" s="19" t="str">
        <f>IF(A578="","",IF(K578="",IFERROR(INDEX(Products!$S$3:$S$302,MATCH(A578,Products!$A$3:$A$302,0)),"Product not found"),K578-IF(L578="Percentage",ROUND(K578*N(M578)/100,2),IF(L578="Fixed amount",N(M578),0))))</f>
        <v/>
      </c>
      <c r="O578" s="17"/>
    </row>
    <row r="579" spans="1:15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8"/>
      <c r="L579" s="16"/>
      <c r="M579" s="16"/>
      <c r="N579" s="19" t="str">
        <f>IF(A579="","",IF(K579="",IFERROR(INDEX(Products!$S$3:$S$302,MATCH(A579,Products!$A$3:$A$302,0)),"Product not found"),K579-IF(L579="Percentage",ROUND(K579*N(M579)/100,2),IF(L579="Fixed amount",N(M579),0))))</f>
        <v/>
      </c>
      <c r="O579" s="17"/>
    </row>
    <row r="580" spans="1:15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8"/>
      <c r="L580" s="16"/>
      <c r="M580" s="16"/>
      <c r="N580" s="19" t="str">
        <f>IF(A580="","",IF(K580="",IFERROR(INDEX(Products!$S$3:$S$302,MATCH(A580,Products!$A$3:$A$302,0)),"Product not found"),K580-IF(L580="Percentage",ROUND(K580*N(M580)/100,2),IF(L580="Fixed amount",N(M580),0))))</f>
        <v/>
      </c>
      <c r="O580" s="17"/>
    </row>
    <row r="581" spans="1:15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8"/>
      <c r="L581" s="16"/>
      <c r="M581" s="16"/>
      <c r="N581" s="19" t="str">
        <f>IF(A581="","",IF(K581="",IFERROR(INDEX(Products!$S$3:$S$302,MATCH(A581,Products!$A$3:$A$302,0)),"Product not found"),K581-IF(L581="Percentage",ROUND(K581*N(M581)/100,2),IF(L581="Fixed amount",N(M581),0))))</f>
        <v/>
      </c>
      <c r="O581" s="17"/>
    </row>
    <row r="582" spans="1:15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8"/>
      <c r="L582" s="16"/>
      <c r="M582" s="16"/>
      <c r="N582" s="19" t="str">
        <f>IF(A582="","",IF(K582="",IFERROR(INDEX(Products!$S$3:$S$302,MATCH(A582,Products!$A$3:$A$302,0)),"Product not found"),K582-IF(L582="Percentage",ROUND(K582*N(M582)/100,2),IF(L582="Fixed amount",N(M582),0))))</f>
        <v/>
      </c>
      <c r="O582" s="17"/>
    </row>
    <row r="583" spans="1:15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8"/>
      <c r="L583" s="16"/>
      <c r="M583" s="16"/>
      <c r="N583" s="19" t="str">
        <f>IF(A583="","",IF(K583="",IFERROR(INDEX(Products!$S$3:$S$302,MATCH(A583,Products!$A$3:$A$302,0)),"Product not found"),K583-IF(L583="Percentage",ROUND(K583*N(M583)/100,2),IF(L583="Fixed amount",N(M583),0))))</f>
        <v/>
      </c>
      <c r="O583" s="17"/>
    </row>
    <row r="584" spans="1:15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8"/>
      <c r="L584" s="16"/>
      <c r="M584" s="16"/>
      <c r="N584" s="19" t="str">
        <f>IF(A584="","",IF(K584="",IFERROR(INDEX(Products!$S$3:$S$302,MATCH(A584,Products!$A$3:$A$302,0)),"Product not found"),K584-IF(L584="Percentage",ROUND(K584*N(M584)/100,2),IF(L584="Fixed amount",N(M584),0))))</f>
        <v/>
      </c>
      <c r="O584" s="17"/>
    </row>
    <row r="585" spans="1:15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8"/>
      <c r="L585" s="16"/>
      <c r="M585" s="16"/>
      <c r="N585" s="19" t="str">
        <f>IF(A585="","",IF(K585="",IFERROR(INDEX(Products!$S$3:$S$302,MATCH(A585,Products!$A$3:$A$302,0)),"Product not found"),K585-IF(L585="Percentage",ROUND(K585*N(M585)/100,2),IF(L585="Fixed amount",N(M585),0))))</f>
        <v/>
      </c>
      <c r="O585" s="17"/>
    </row>
    <row r="586" spans="1:15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8"/>
      <c r="L586" s="16"/>
      <c r="M586" s="16"/>
      <c r="N586" s="19" t="str">
        <f>IF(A586="","",IF(K586="",IFERROR(INDEX(Products!$S$3:$S$302,MATCH(A586,Products!$A$3:$A$302,0)),"Product not found"),K586-IF(L586="Percentage",ROUND(K586*N(M586)/100,2),IF(L586="Fixed amount",N(M586),0))))</f>
        <v/>
      </c>
      <c r="O586" s="17"/>
    </row>
    <row r="587" spans="1:15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8"/>
      <c r="L587" s="16"/>
      <c r="M587" s="16"/>
      <c r="N587" s="19" t="str">
        <f>IF(A587="","",IF(K587="",IFERROR(INDEX(Products!$S$3:$S$302,MATCH(A587,Products!$A$3:$A$302,0)),"Product not found"),K587-IF(L587="Percentage",ROUND(K587*N(M587)/100,2),IF(L587="Fixed amount",N(M587),0))))</f>
        <v/>
      </c>
      <c r="O587" s="17"/>
    </row>
    <row r="588" spans="1:15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8"/>
      <c r="L588" s="16"/>
      <c r="M588" s="16"/>
      <c r="N588" s="19" t="str">
        <f>IF(A588="","",IF(K588="",IFERROR(INDEX(Products!$S$3:$S$302,MATCH(A588,Products!$A$3:$A$302,0)),"Product not found"),K588-IF(L588="Percentage",ROUND(K588*N(M588)/100,2),IF(L588="Fixed amount",N(M588),0))))</f>
        <v/>
      </c>
      <c r="O588" s="17"/>
    </row>
    <row r="589" spans="1:15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8"/>
      <c r="L589" s="16"/>
      <c r="M589" s="16"/>
      <c r="N589" s="19" t="str">
        <f>IF(A589="","",IF(K589="",IFERROR(INDEX(Products!$S$3:$S$302,MATCH(A589,Products!$A$3:$A$302,0)),"Product not found"),K589-IF(L589="Percentage",ROUND(K589*N(M589)/100,2),IF(L589="Fixed amount",N(M589),0))))</f>
        <v/>
      </c>
      <c r="O589" s="17"/>
    </row>
    <row r="590" spans="1:15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8"/>
      <c r="L590" s="16"/>
      <c r="M590" s="16"/>
      <c r="N590" s="19" t="str">
        <f>IF(A590="","",IF(K590="",IFERROR(INDEX(Products!$S$3:$S$302,MATCH(A590,Products!$A$3:$A$302,0)),"Product not found"),K590-IF(L590="Percentage",ROUND(K590*N(M590)/100,2),IF(L590="Fixed amount",N(M590),0))))</f>
        <v/>
      </c>
      <c r="O590" s="17"/>
    </row>
    <row r="591" spans="1:15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8"/>
      <c r="L591" s="16"/>
      <c r="M591" s="16"/>
      <c r="N591" s="19" t="str">
        <f>IF(A591="","",IF(K591="",IFERROR(INDEX(Products!$S$3:$S$302,MATCH(A591,Products!$A$3:$A$302,0)),"Product not found"),K591-IF(L591="Percentage",ROUND(K591*N(M591)/100,2),IF(L591="Fixed amount",N(M591),0))))</f>
        <v/>
      </c>
      <c r="O591" s="17"/>
    </row>
    <row r="592" spans="1:15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8"/>
      <c r="L592" s="16"/>
      <c r="M592" s="16"/>
      <c r="N592" s="19" t="str">
        <f>IF(A592="","",IF(K592="",IFERROR(INDEX(Products!$S$3:$S$302,MATCH(A592,Products!$A$3:$A$302,0)),"Product not found"),K592-IF(L592="Percentage",ROUND(K592*N(M592)/100,2),IF(L592="Fixed amount",N(M592),0))))</f>
        <v/>
      </c>
      <c r="O592" s="17"/>
    </row>
    <row r="593" spans="1:15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8"/>
      <c r="L593" s="16"/>
      <c r="M593" s="16"/>
      <c r="N593" s="19" t="str">
        <f>IF(A593="","",IF(K593="",IFERROR(INDEX(Products!$S$3:$S$302,MATCH(A593,Products!$A$3:$A$302,0)),"Product not found"),K593-IF(L593="Percentage",ROUND(K593*N(M593)/100,2),IF(L593="Fixed amount",N(M593),0))))</f>
        <v/>
      </c>
      <c r="O593" s="17"/>
    </row>
    <row r="594" spans="1:15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8"/>
      <c r="L594" s="16"/>
      <c r="M594" s="16"/>
      <c r="N594" s="19" t="str">
        <f>IF(A594="","",IF(K594="",IFERROR(INDEX(Products!$S$3:$S$302,MATCH(A594,Products!$A$3:$A$302,0)),"Product not found"),K594-IF(L594="Percentage",ROUND(K594*N(M594)/100,2),IF(L594="Fixed amount",N(M594),0))))</f>
        <v/>
      </c>
      <c r="O594" s="17"/>
    </row>
    <row r="595" spans="1:15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8"/>
      <c r="L595" s="16"/>
      <c r="M595" s="16"/>
      <c r="N595" s="19" t="str">
        <f>IF(A595="","",IF(K595="",IFERROR(INDEX(Products!$S$3:$S$302,MATCH(A595,Products!$A$3:$A$302,0)),"Product not found"),K595-IF(L595="Percentage",ROUND(K595*N(M595)/100,2),IF(L595="Fixed amount",N(M595),0))))</f>
        <v/>
      </c>
      <c r="O595" s="17"/>
    </row>
    <row r="596" spans="1:15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8"/>
      <c r="L596" s="16"/>
      <c r="M596" s="16"/>
      <c r="N596" s="19" t="str">
        <f>IF(A596="","",IF(K596="",IFERROR(INDEX(Products!$S$3:$S$302,MATCH(A596,Products!$A$3:$A$302,0)),"Product not found"),K596-IF(L596="Percentage",ROUND(K596*N(M596)/100,2),IF(L596="Fixed amount",N(M596),0))))</f>
        <v/>
      </c>
      <c r="O596" s="17"/>
    </row>
    <row r="597" spans="1:15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8"/>
      <c r="L597" s="16"/>
      <c r="M597" s="16"/>
      <c r="N597" s="19" t="str">
        <f>IF(A597="","",IF(K597="",IFERROR(INDEX(Products!$S$3:$S$302,MATCH(A597,Products!$A$3:$A$302,0)),"Product not found"),K597-IF(L597="Percentage",ROUND(K597*N(M597)/100,2),IF(L597="Fixed amount",N(M597),0))))</f>
        <v/>
      </c>
      <c r="O597" s="17"/>
    </row>
    <row r="598" spans="1:15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8"/>
      <c r="L598" s="16"/>
      <c r="M598" s="16"/>
      <c r="N598" s="19" t="str">
        <f>IF(A598="","",IF(K598="",IFERROR(INDEX(Products!$S$3:$S$302,MATCH(A598,Products!$A$3:$A$302,0)),"Product not found"),K598-IF(L598="Percentage",ROUND(K598*N(M598)/100,2),IF(L598="Fixed amount",N(M598),0))))</f>
        <v/>
      </c>
      <c r="O598" s="17"/>
    </row>
    <row r="599" spans="1:15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8"/>
      <c r="L599" s="16"/>
      <c r="M599" s="16"/>
      <c r="N599" s="19" t="str">
        <f>IF(A599="","",IF(K599="",IFERROR(INDEX(Products!$S$3:$S$302,MATCH(A599,Products!$A$3:$A$302,0)),"Product not found"),K599-IF(L599="Percentage",ROUND(K599*N(M599)/100,2),IF(L599="Fixed amount",N(M599),0))))</f>
        <v/>
      </c>
      <c r="O599" s="17"/>
    </row>
    <row r="600" spans="1:15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8"/>
      <c r="L600" s="16"/>
      <c r="M600" s="16"/>
      <c r="N600" s="19" t="str">
        <f>IF(A600="","",IF(K600="",IFERROR(INDEX(Products!$S$3:$S$302,MATCH(A600,Products!$A$3:$A$302,0)),"Product not found"),K600-IF(L600="Percentage",ROUND(K600*N(M600)/100,2),IF(L600="Fixed amount",N(M600),0))))</f>
        <v/>
      </c>
      <c r="O600" s="17"/>
    </row>
    <row r="601" spans="1:15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8"/>
      <c r="L601" s="16"/>
      <c r="M601" s="16"/>
      <c r="N601" s="19" t="str">
        <f>IF(A601="","",IF(K601="",IFERROR(INDEX(Products!$S$3:$S$302,MATCH(A601,Products!$A$3:$A$302,0)),"Product not found"),K601-IF(L601="Percentage",ROUND(K601*N(M601)/100,2),IF(L601="Fixed amount",N(M601),0))))</f>
        <v/>
      </c>
      <c r="O601" s="17"/>
    </row>
    <row r="602" spans="1:15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8"/>
      <c r="L602" s="16"/>
      <c r="M602" s="16"/>
      <c r="N602" s="19" t="str">
        <f>IF(A602="","",IF(K602="",IFERROR(INDEX(Products!$S$3:$S$302,MATCH(A602,Products!$A$3:$A$302,0)),"Product not found"),K602-IF(L602="Percentage",ROUND(K602*N(M602)/100,2),IF(L602="Fixed amount",N(M602),0))))</f>
        <v/>
      </c>
      <c r="O602" s="17"/>
    </row>
    <row r="603" spans="1:15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8"/>
      <c r="L603" s="16"/>
      <c r="M603" s="16"/>
      <c r="N603" s="19" t="str">
        <f>IF(A603="","",IF(K603="",IFERROR(INDEX(Products!$S$3:$S$302,MATCH(A603,Products!$A$3:$A$302,0)),"Product not found"),K603-IF(L603="Percentage",ROUND(K603*N(M603)/100,2),IF(L603="Fixed amount",N(M603),0))))</f>
        <v/>
      </c>
      <c r="O603" s="17"/>
    </row>
    <row r="604" spans="1:15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8"/>
      <c r="L604" s="16"/>
      <c r="M604" s="16"/>
      <c r="N604" s="19" t="str">
        <f>IF(A604="","",IF(K604="",IFERROR(INDEX(Products!$S$3:$S$302,MATCH(A604,Products!$A$3:$A$302,0)),"Product not found"),K604-IF(L604="Percentage",ROUND(K604*N(M604)/100,2),IF(L604="Fixed amount",N(M604),0))))</f>
        <v/>
      </c>
      <c r="O604" s="17"/>
    </row>
    <row r="605" spans="1:15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8"/>
      <c r="L605" s="16"/>
      <c r="M605" s="16"/>
      <c r="N605" s="19" t="str">
        <f>IF(A605="","",IF(K605="",IFERROR(INDEX(Products!$S$3:$S$302,MATCH(A605,Products!$A$3:$A$302,0)),"Product not found"),K605-IF(L605="Percentage",ROUND(K605*N(M605)/100,2),IF(L605="Fixed amount",N(M605),0))))</f>
        <v/>
      </c>
      <c r="O605" s="17"/>
    </row>
    <row r="606" spans="1:15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8"/>
      <c r="L606" s="16"/>
      <c r="M606" s="16"/>
      <c r="N606" s="19" t="str">
        <f>IF(A606="","",IF(K606="",IFERROR(INDEX(Products!$S$3:$S$302,MATCH(A606,Products!$A$3:$A$302,0)),"Product not found"),K606-IF(L606="Percentage",ROUND(K606*N(M606)/100,2),IF(L606="Fixed amount",N(M606),0))))</f>
        <v/>
      </c>
      <c r="O606" s="17"/>
    </row>
    <row r="607" spans="1:15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8"/>
      <c r="L607" s="16"/>
      <c r="M607" s="16"/>
      <c r="N607" s="19" t="str">
        <f>IF(A607="","",IF(K607="",IFERROR(INDEX(Products!$S$3:$S$302,MATCH(A607,Products!$A$3:$A$302,0)),"Product not found"),K607-IF(L607="Percentage",ROUND(K607*N(M607)/100,2),IF(L607="Fixed amount",N(M607),0))))</f>
        <v/>
      </c>
      <c r="O607" s="17"/>
    </row>
    <row r="608" spans="1:15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8"/>
      <c r="L608" s="16"/>
      <c r="M608" s="16"/>
      <c r="N608" s="19" t="str">
        <f>IF(A608="","",IF(K608="",IFERROR(INDEX(Products!$S$3:$S$302,MATCH(A608,Products!$A$3:$A$302,0)),"Product not found"),K608-IF(L608="Percentage",ROUND(K608*N(M608)/100,2),IF(L608="Fixed amount",N(M608),0))))</f>
        <v/>
      </c>
      <c r="O608" s="17"/>
    </row>
    <row r="609" spans="1:15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8"/>
      <c r="L609" s="16"/>
      <c r="M609" s="16"/>
      <c r="N609" s="19" t="str">
        <f>IF(A609="","",IF(K609="",IFERROR(INDEX(Products!$S$3:$S$302,MATCH(A609,Products!$A$3:$A$302,0)),"Product not found"),K609-IF(L609="Percentage",ROUND(K609*N(M609)/100,2),IF(L609="Fixed amount",N(M609),0))))</f>
        <v/>
      </c>
      <c r="O609" s="17"/>
    </row>
    <row r="610" spans="1:15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8"/>
      <c r="L610" s="16"/>
      <c r="M610" s="16"/>
      <c r="N610" s="19" t="str">
        <f>IF(A610="","",IF(K610="",IFERROR(INDEX(Products!$S$3:$S$302,MATCH(A610,Products!$A$3:$A$302,0)),"Product not found"),K610-IF(L610="Percentage",ROUND(K610*N(M610)/100,2),IF(L610="Fixed amount",N(M610),0))))</f>
        <v/>
      </c>
      <c r="O610" s="17"/>
    </row>
    <row r="611" spans="1:15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8"/>
      <c r="L611" s="16"/>
      <c r="M611" s="16"/>
      <c r="N611" s="19" t="str">
        <f>IF(A611="","",IF(K611="",IFERROR(INDEX(Products!$S$3:$S$302,MATCH(A611,Products!$A$3:$A$302,0)),"Product not found"),K611-IF(L611="Percentage",ROUND(K611*N(M611)/100,2),IF(L611="Fixed amount",N(M611),0))))</f>
        <v/>
      </c>
      <c r="O611" s="17"/>
    </row>
    <row r="612" spans="1:15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8"/>
      <c r="L612" s="16"/>
      <c r="M612" s="16"/>
      <c r="N612" s="19" t="str">
        <f>IF(A612="","",IF(K612="",IFERROR(INDEX(Products!$S$3:$S$302,MATCH(A612,Products!$A$3:$A$302,0)),"Product not found"),K612-IF(L612="Percentage",ROUND(K612*N(M612)/100,2),IF(L612="Fixed amount",N(M612),0))))</f>
        <v/>
      </c>
      <c r="O612" s="17"/>
    </row>
    <row r="613" spans="1:15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8"/>
      <c r="L613" s="16"/>
      <c r="M613" s="16"/>
      <c r="N613" s="19" t="str">
        <f>IF(A613="","",IF(K613="",IFERROR(INDEX(Products!$S$3:$S$302,MATCH(A613,Products!$A$3:$A$302,0)),"Product not found"),K613-IF(L613="Percentage",ROUND(K613*N(M613)/100,2),IF(L613="Fixed amount",N(M613),0))))</f>
        <v/>
      </c>
      <c r="O613" s="17"/>
    </row>
    <row r="614" spans="1:15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8"/>
      <c r="L614" s="16"/>
      <c r="M614" s="16"/>
      <c r="N614" s="19" t="str">
        <f>IF(A614="","",IF(K614="",IFERROR(INDEX(Products!$S$3:$S$302,MATCH(A614,Products!$A$3:$A$302,0)),"Product not found"),K614-IF(L614="Percentage",ROUND(K614*N(M614)/100,2),IF(L614="Fixed amount",N(M614),0))))</f>
        <v/>
      </c>
      <c r="O614" s="17"/>
    </row>
    <row r="615" spans="1:15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8"/>
      <c r="L615" s="16"/>
      <c r="M615" s="16"/>
      <c r="N615" s="19" t="str">
        <f>IF(A615="","",IF(K615="",IFERROR(INDEX(Products!$S$3:$S$302,MATCH(A615,Products!$A$3:$A$302,0)),"Product not found"),K615-IF(L615="Percentage",ROUND(K615*N(M615)/100,2),IF(L615="Fixed amount",N(M615),0))))</f>
        <v/>
      </c>
      <c r="O615" s="17"/>
    </row>
    <row r="616" spans="1:15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8"/>
      <c r="L616" s="16"/>
      <c r="M616" s="16"/>
      <c r="N616" s="19" t="str">
        <f>IF(A616="","",IF(K616="",IFERROR(INDEX(Products!$S$3:$S$302,MATCH(A616,Products!$A$3:$A$302,0)),"Product not found"),K616-IF(L616="Percentage",ROUND(K616*N(M616)/100,2),IF(L616="Fixed amount",N(M616),0))))</f>
        <v/>
      </c>
      <c r="O616" s="17"/>
    </row>
    <row r="617" spans="1:15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8"/>
      <c r="L617" s="16"/>
      <c r="M617" s="16"/>
      <c r="N617" s="19" t="str">
        <f>IF(A617="","",IF(K617="",IFERROR(INDEX(Products!$S$3:$S$302,MATCH(A617,Products!$A$3:$A$302,0)),"Product not found"),K617-IF(L617="Percentage",ROUND(K617*N(M617)/100,2),IF(L617="Fixed amount",N(M617),0))))</f>
        <v/>
      </c>
      <c r="O617" s="17"/>
    </row>
    <row r="618" spans="1:15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8"/>
      <c r="L618" s="16"/>
      <c r="M618" s="16"/>
      <c r="N618" s="19" t="str">
        <f>IF(A618="","",IF(K618="",IFERROR(INDEX(Products!$S$3:$S$302,MATCH(A618,Products!$A$3:$A$302,0)),"Product not found"),K618-IF(L618="Percentage",ROUND(K618*N(M618)/100,2),IF(L618="Fixed amount",N(M618),0))))</f>
        <v/>
      </c>
      <c r="O618" s="17"/>
    </row>
    <row r="619" spans="1:15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8"/>
      <c r="L619" s="16"/>
      <c r="M619" s="16"/>
      <c r="N619" s="19" t="str">
        <f>IF(A619="","",IF(K619="",IFERROR(INDEX(Products!$S$3:$S$302,MATCH(A619,Products!$A$3:$A$302,0)),"Product not found"),K619-IF(L619="Percentage",ROUND(K619*N(M619)/100,2),IF(L619="Fixed amount",N(M619),0))))</f>
        <v/>
      </c>
      <c r="O619" s="17"/>
    </row>
    <row r="620" spans="1:15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8"/>
      <c r="L620" s="16"/>
      <c r="M620" s="16"/>
      <c r="N620" s="19" t="str">
        <f>IF(A620="","",IF(K620="",IFERROR(INDEX(Products!$S$3:$S$302,MATCH(A620,Products!$A$3:$A$302,0)),"Product not found"),K620-IF(L620="Percentage",ROUND(K620*N(M620)/100,2),IF(L620="Fixed amount",N(M620),0))))</f>
        <v/>
      </c>
      <c r="O620" s="17"/>
    </row>
    <row r="621" spans="1:15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8"/>
      <c r="L621" s="16"/>
      <c r="M621" s="16"/>
      <c r="N621" s="19" t="str">
        <f>IF(A621="","",IF(K621="",IFERROR(INDEX(Products!$S$3:$S$302,MATCH(A621,Products!$A$3:$A$302,0)),"Product not found"),K621-IF(L621="Percentage",ROUND(K621*N(M621)/100,2),IF(L621="Fixed amount",N(M621),0))))</f>
        <v/>
      </c>
      <c r="O621" s="17"/>
    </row>
    <row r="622" spans="1:15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8"/>
      <c r="L622" s="16"/>
      <c r="M622" s="16"/>
      <c r="N622" s="19" t="str">
        <f>IF(A622="","",IF(K622="",IFERROR(INDEX(Products!$S$3:$S$302,MATCH(A622,Products!$A$3:$A$302,0)),"Product not found"),K622-IF(L622="Percentage",ROUND(K622*N(M622)/100,2),IF(L622="Fixed amount",N(M622),0))))</f>
        <v/>
      </c>
      <c r="O622" s="17"/>
    </row>
    <row r="623" spans="1:15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8"/>
      <c r="L623" s="16"/>
      <c r="M623" s="16"/>
      <c r="N623" s="19" t="str">
        <f>IF(A623="","",IF(K623="",IFERROR(INDEX(Products!$S$3:$S$302,MATCH(A623,Products!$A$3:$A$302,0)),"Product not found"),K623-IF(L623="Percentage",ROUND(K623*N(M623)/100,2),IF(L623="Fixed amount",N(M623),0))))</f>
        <v/>
      </c>
      <c r="O623" s="17"/>
    </row>
    <row r="624" spans="1:15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8"/>
      <c r="L624" s="16"/>
      <c r="M624" s="16"/>
      <c r="N624" s="19" t="str">
        <f>IF(A624="","",IF(K624="",IFERROR(INDEX(Products!$S$3:$S$302,MATCH(A624,Products!$A$3:$A$302,0)),"Product not found"),K624-IF(L624="Percentage",ROUND(K624*N(M624)/100,2),IF(L624="Fixed amount",N(M624),0))))</f>
        <v/>
      </c>
      <c r="O624" s="17"/>
    </row>
    <row r="625" spans="1:15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8"/>
      <c r="L625" s="16"/>
      <c r="M625" s="16"/>
      <c r="N625" s="19" t="str">
        <f>IF(A625="","",IF(K625="",IFERROR(INDEX(Products!$S$3:$S$302,MATCH(A625,Products!$A$3:$A$302,0)),"Product not found"),K625-IF(L625="Percentage",ROUND(K625*N(M625)/100,2),IF(L625="Fixed amount",N(M625),0))))</f>
        <v/>
      </c>
      <c r="O625" s="17"/>
    </row>
    <row r="626" spans="1:15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8"/>
      <c r="L626" s="16"/>
      <c r="M626" s="16"/>
      <c r="N626" s="19" t="str">
        <f>IF(A626="","",IF(K626="",IFERROR(INDEX(Products!$S$3:$S$302,MATCH(A626,Products!$A$3:$A$302,0)),"Product not found"),K626-IF(L626="Percentage",ROUND(K626*N(M626)/100,2),IF(L626="Fixed amount",N(M626),0))))</f>
        <v/>
      </c>
      <c r="O626" s="17"/>
    </row>
    <row r="627" spans="1:15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8"/>
      <c r="L627" s="16"/>
      <c r="M627" s="16"/>
      <c r="N627" s="19" t="str">
        <f>IF(A627="","",IF(K627="",IFERROR(INDEX(Products!$S$3:$S$302,MATCH(A627,Products!$A$3:$A$302,0)),"Product not found"),K627-IF(L627="Percentage",ROUND(K627*N(M627)/100,2),IF(L627="Fixed amount",N(M627),0))))</f>
        <v/>
      </c>
      <c r="O627" s="17"/>
    </row>
    <row r="628" spans="1:15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8"/>
      <c r="L628" s="16"/>
      <c r="M628" s="16"/>
      <c r="N628" s="19" t="str">
        <f>IF(A628="","",IF(K628="",IFERROR(INDEX(Products!$S$3:$S$302,MATCH(A628,Products!$A$3:$A$302,0)),"Product not found"),K628-IF(L628="Percentage",ROUND(K628*N(M628)/100,2),IF(L628="Fixed amount",N(M628),0))))</f>
        <v/>
      </c>
      <c r="O628" s="17"/>
    </row>
    <row r="629" spans="1:15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8"/>
      <c r="L629" s="16"/>
      <c r="M629" s="16"/>
      <c r="N629" s="19" t="str">
        <f>IF(A629="","",IF(K629="",IFERROR(INDEX(Products!$S$3:$S$302,MATCH(A629,Products!$A$3:$A$302,0)),"Product not found"),K629-IF(L629="Percentage",ROUND(K629*N(M629)/100,2),IF(L629="Fixed amount",N(M629),0))))</f>
        <v/>
      </c>
      <c r="O629" s="17"/>
    </row>
    <row r="630" spans="1:15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8"/>
      <c r="L630" s="16"/>
      <c r="M630" s="16"/>
      <c r="N630" s="19" t="str">
        <f>IF(A630="","",IF(K630="",IFERROR(INDEX(Products!$S$3:$S$302,MATCH(A630,Products!$A$3:$A$302,0)),"Product not found"),K630-IF(L630="Percentage",ROUND(K630*N(M630)/100,2),IF(L630="Fixed amount",N(M630),0))))</f>
        <v/>
      </c>
      <c r="O630" s="17"/>
    </row>
    <row r="631" spans="1:15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8"/>
      <c r="L631" s="16"/>
      <c r="M631" s="16"/>
      <c r="N631" s="19" t="str">
        <f>IF(A631="","",IF(K631="",IFERROR(INDEX(Products!$S$3:$S$302,MATCH(A631,Products!$A$3:$A$302,0)),"Product not found"),K631-IF(L631="Percentage",ROUND(K631*N(M631)/100,2),IF(L631="Fixed amount",N(M631),0))))</f>
        <v/>
      </c>
      <c r="O631" s="17"/>
    </row>
    <row r="632" spans="1:15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8"/>
      <c r="L632" s="16"/>
      <c r="M632" s="16"/>
      <c r="N632" s="19" t="str">
        <f>IF(A632="","",IF(K632="",IFERROR(INDEX(Products!$S$3:$S$302,MATCH(A632,Products!$A$3:$A$302,0)),"Product not found"),K632-IF(L632="Percentage",ROUND(K632*N(M632)/100,2),IF(L632="Fixed amount",N(M632),0))))</f>
        <v/>
      </c>
      <c r="O632" s="17"/>
    </row>
    <row r="633" spans="1:15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8"/>
      <c r="L633" s="16"/>
      <c r="M633" s="16"/>
      <c r="N633" s="19" t="str">
        <f>IF(A633="","",IF(K633="",IFERROR(INDEX(Products!$S$3:$S$302,MATCH(A633,Products!$A$3:$A$302,0)),"Product not found"),K633-IF(L633="Percentage",ROUND(K633*N(M633)/100,2),IF(L633="Fixed amount",N(M633),0))))</f>
        <v/>
      </c>
      <c r="O633" s="17"/>
    </row>
    <row r="634" spans="1:15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8"/>
      <c r="L634" s="16"/>
      <c r="M634" s="16"/>
      <c r="N634" s="19" t="str">
        <f>IF(A634="","",IF(K634="",IFERROR(INDEX(Products!$S$3:$S$302,MATCH(A634,Products!$A$3:$A$302,0)),"Product not found"),K634-IF(L634="Percentage",ROUND(K634*N(M634)/100,2),IF(L634="Fixed amount",N(M634),0))))</f>
        <v/>
      </c>
      <c r="O634" s="17"/>
    </row>
    <row r="635" spans="1:15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8"/>
      <c r="L635" s="16"/>
      <c r="M635" s="16"/>
      <c r="N635" s="19" t="str">
        <f>IF(A635="","",IF(K635="",IFERROR(INDEX(Products!$S$3:$S$302,MATCH(A635,Products!$A$3:$A$302,0)),"Product not found"),K635-IF(L635="Percentage",ROUND(K635*N(M635)/100,2),IF(L635="Fixed amount",N(M635),0))))</f>
        <v/>
      </c>
      <c r="O635" s="17"/>
    </row>
    <row r="636" spans="1:15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8"/>
      <c r="L636" s="16"/>
      <c r="M636" s="16"/>
      <c r="N636" s="19" t="str">
        <f>IF(A636="","",IF(K636="",IFERROR(INDEX(Products!$S$3:$S$302,MATCH(A636,Products!$A$3:$A$302,0)),"Product not found"),K636-IF(L636="Percentage",ROUND(K636*N(M636)/100,2),IF(L636="Fixed amount",N(M636),0))))</f>
        <v/>
      </c>
      <c r="O636" s="17"/>
    </row>
    <row r="637" spans="1:15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8"/>
      <c r="L637" s="16"/>
      <c r="M637" s="16"/>
      <c r="N637" s="19" t="str">
        <f>IF(A637="","",IF(K637="",IFERROR(INDEX(Products!$S$3:$S$302,MATCH(A637,Products!$A$3:$A$302,0)),"Product not found"),K637-IF(L637="Percentage",ROUND(K637*N(M637)/100,2),IF(L637="Fixed amount",N(M637),0))))</f>
        <v/>
      </c>
      <c r="O637" s="17"/>
    </row>
    <row r="638" spans="1:15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8"/>
      <c r="L638" s="16"/>
      <c r="M638" s="16"/>
      <c r="N638" s="19" t="str">
        <f>IF(A638="","",IF(K638="",IFERROR(INDEX(Products!$S$3:$S$302,MATCH(A638,Products!$A$3:$A$302,0)),"Product not found"),K638-IF(L638="Percentage",ROUND(K638*N(M638)/100,2),IF(L638="Fixed amount",N(M638),0))))</f>
        <v/>
      </c>
      <c r="O638" s="17"/>
    </row>
    <row r="639" spans="1:15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8"/>
      <c r="L639" s="16"/>
      <c r="M639" s="16"/>
      <c r="N639" s="19" t="str">
        <f>IF(A639="","",IF(K639="",IFERROR(INDEX(Products!$S$3:$S$302,MATCH(A639,Products!$A$3:$A$302,0)),"Product not found"),K639-IF(L639="Percentage",ROUND(K639*N(M639)/100,2),IF(L639="Fixed amount",N(M639),0))))</f>
        <v/>
      </c>
      <c r="O639" s="17"/>
    </row>
    <row r="640" spans="1:15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8"/>
      <c r="L640" s="16"/>
      <c r="M640" s="16"/>
      <c r="N640" s="19" t="str">
        <f>IF(A640="","",IF(K640="",IFERROR(INDEX(Products!$S$3:$S$302,MATCH(A640,Products!$A$3:$A$302,0)),"Product not found"),K640-IF(L640="Percentage",ROUND(K640*N(M640)/100,2),IF(L640="Fixed amount",N(M640),0))))</f>
        <v/>
      </c>
      <c r="O640" s="17"/>
    </row>
    <row r="641" spans="1:15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8"/>
      <c r="L641" s="16"/>
      <c r="M641" s="16"/>
      <c r="N641" s="19" t="str">
        <f>IF(A641="","",IF(K641="",IFERROR(INDEX(Products!$S$3:$S$302,MATCH(A641,Products!$A$3:$A$302,0)),"Product not found"),K641-IF(L641="Percentage",ROUND(K641*N(M641)/100,2),IF(L641="Fixed amount",N(M641),0))))</f>
        <v/>
      </c>
      <c r="O641" s="17"/>
    </row>
    <row r="642" spans="1:15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8"/>
      <c r="L642" s="16"/>
      <c r="M642" s="16"/>
      <c r="N642" s="19" t="str">
        <f>IF(A642="","",IF(K642="",IFERROR(INDEX(Products!$S$3:$S$302,MATCH(A642,Products!$A$3:$A$302,0)),"Product not found"),K642-IF(L642="Percentage",ROUND(K642*N(M642)/100,2),IF(L642="Fixed amount",N(M642),0))))</f>
        <v/>
      </c>
      <c r="O642" s="17"/>
    </row>
    <row r="643" spans="1:15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8"/>
      <c r="L643" s="16"/>
      <c r="M643" s="16"/>
      <c r="N643" s="19" t="str">
        <f>IF(A643="","",IF(K643="",IFERROR(INDEX(Products!$S$3:$S$302,MATCH(A643,Products!$A$3:$A$302,0)),"Product not found"),K643-IF(L643="Percentage",ROUND(K643*N(M643)/100,2),IF(L643="Fixed amount",N(M643),0))))</f>
        <v/>
      </c>
      <c r="O643" s="17"/>
    </row>
    <row r="644" spans="1:15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8"/>
      <c r="L644" s="16"/>
      <c r="M644" s="16"/>
      <c r="N644" s="19" t="str">
        <f>IF(A644="","",IF(K644="",IFERROR(INDEX(Products!$S$3:$S$302,MATCH(A644,Products!$A$3:$A$302,0)),"Product not found"),K644-IF(L644="Percentage",ROUND(K644*N(M644)/100,2),IF(L644="Fixed amount",N(M644),0))))</f>
        <v/>
      </c>
      <c r="O644" s="17"/>
    </row>
    <row r="645" spans="1:15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8"/>
      <c r="L645" s="16"/>
      <c r="M645" s="16"/>
      <c r="N645" s="19" t="str">
        <f>IF(A645="","",IF(K645="",IFERROR(INDEX(Products!$S$3:$S$302,MATCH(A645,Products!$A$3:$A$302,0)),"Product not found"),K645-IF(L645="Percentage",ROUND(K645*N(M645)/100,2),IF(L645="Fixed amount",N(M645),0))))</f>
        <v/>
      </c>
      <c r="O645" s="17"/>
    </row>
    <row r="646" spans="1:15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8"/>
      <c r="L646" s="16"/>
      <c r="M646" s="16"/>
      <c r="N646" s="19" t="str">
        <f>IF(A646="","",IF(K646="",IFERROR(INDEX(Products!$S$3:$S$302,MATCH(A646,Products!$A$3:$A$302,0)),"Product not found"),K646-IF(L646="Percentage",ROUND(K646*N(M646)/100,2),IF(L646="Fixed amount",N(M646),0))))</f>
        <v/>
      </c>
      <c r="O646" s="17"/>
    </row>
    <row r="647" spans="1:15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8"/>
      <c r="L647" s="16"/>
      <c r="M647" s="16"/>
      <c r="N647" s="19" t="str">
        <f>IF(A647="","",IF(K647="",IFERROR(INDEX(Products!$S$3:$S$302,MATCH(A647,Products!$A$3:$A$302,0)),"Product not found"),K647-IF(L647="Percentage",ROUND(K647*N(M647)/100,2),IF(L647="Fixed amount",N(M647),0))))</f>
        <v/>
      </c>
      <c r="O647" s="17"/>
    </row>
    <row r="648" spans="1:15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8"/>
      <c r="L648" s="16"/>
      <c r="M648" s="16"/>
      <c r="N648" s="19" t="str">
        <f>IF(A648="","",IF(K648="",IFERROR(INDEX(Products!$S$3:$S$302,MATCH(A648,Products!$A$3:$A$302,0)),"Product not found"),K648-IF(L648="Percentage",ROUND(K648*N(M648)/100,2),IF(L648="Fixed amount",N(M648),0))))</f>
        <v/>
      </c>
      <c r="O648" s="17"/>
    </row>
    <row r="649" spans="1:15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8"/>
      <c r="L649" s="16"/>
      <c r="M649" s="16"/>
      <c r="N649" s="19" t="str">
        <f>IF(A649="","",IF(K649="",IFERROR(INDEX(Products!$S$3:$S$302,MATCH(A649,Products!$A$3:$A$302,0)),"Product not found"),K649-IF(L649="Percentage",ROUND(K649*N(M649)/100,2),IF(L649="Fixed amount",N(M649),0))))</f>
        <v/>
      </c>
      <c r="O649" s="17"/>
    </row>
    <row r="650" spans="1:15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8"/>
      <c r="L650" s="16"/>
      <c r="M650" s="16"/>
      <c r="N650" s="19" t="str">
        <f>IF(A650="","",IF(K650="",IFERROR(INDEX(Products!$S$3:$S$302,MATCH(A650,Products!$A$3:$A$302,0)),"Product not found"),K650-IF(L650="Percentage",ROUND(K650*N(M650)/100,2),IF(L650="Fixed amount",N(M650),0))))</f>
        <v/>
      </c>
      <c r="O650" s="17"/>
    </row>
    <row r="651" spans="1:15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8"/>
      <c r="L651" s="16"/>
      <c r="M651" s="16"/>
      <c r="N651" s="19" t="str">
        <f>IF(A651="","",IF(K651="",IFERROR(INDEX(Products!$S$3:$S$302,MATCH(A651,Products!$A$3:$A$302,0)),"Product not found"),K651-IF(L651="Percentage",ROUND(K651*N(M651)/100,2),IF(L651="Fixed amount",N(M651),0))))</f>
        <v/>
      </c>
      <c r="O651" s="17"/>
    </row>
    <row r="652" spans="1:15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8"/>
      <c r="L652" s="16"/>
      <c r="M652" s="16"/>
      <c r="N652" s="19" t="str">
        <f>IF(A652="","",IF(K652="",IFERROR(INDEX(Products!$S$3:$S$302,MATCH(A652,Products!$A$3:$A$302,0)),"Product not found"),K652-IF(L652="Percentage",ROUND(K652*N(M652)/100,2),IF(L652="Fixed amount",N(M652),0))))</f>
        <v/>
      </c>
      <c r="O652" s="17"/>
    </row>
    <row r="653" spans="1:15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8"/>
      <c r="L653" s="16"/>
      <c r="M653" s="16"/>
      <c r="N653" s="19" t="str">
        <f>IF(A653="","",IF(K653="",IFERROR(INDEX(Products!$S$3:$S$302,MATCH(A653,Products!$A$3:$A$302,0)),"Product not found"),K653-IF(L653="Percentage",ROUND(K653*N(M653)/100,2),IF(L653="Fixed amount",N(M653),0))))</f>
        <v/>
      </c>
      <c r="O653" s="17"/>
    </row>
    <row r="654" spans="1:15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8"/>
      <c r="L654" s="16"/>
      <c r="M654" s="16"/>
      <c r="N654" s="19" t="str">
        <f>IF(A654="","",IF(K654="",IFERROR(INDEX(Products!$S$3:$S$302,MATCH(A654,Products!$A$3:$A$302,0)),"Product not found"),K654-IF(L654="Percentage",ROUND(K654*N(M654)/100,2),IF(L654="Fixed amount",N(M654),0))))</f>
        <v/>
      </c>
      <c r="O654" s="17"/>
    </row>
    <row r="655" spans="1:15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8"/>
      <c r="L655" s="16"/>
      <c r="M655" s="16"/>
      <c r="N655" s="19" t="str">
        <f>IF(A655="","",IF(K655="",IFERROR(INDEX(Products!$S$3:$S$302,MATCH(A655,Products!$A$3:$A$302,0)),"Product not found"),K655-IF(L655="Percentage",ROUND(K655*N(M655)/100,2),IF(L655="Fixed amount",N(M655),0))))</f>
        <v/>
      </c>
      <c r="O655" s="17"/>
    </row>
    <row r="656" spans="1:15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8"/>
      <c r="L656" s="16"/>
      <c r="M656" s="16"/>
      <c r="N656" s="19" t="str">
        <f>IF(A656="","",IF(K656="",IFERROR(INDEX(Products!$S$3:$S$302,MATCH(A656,Products!$A$3:$A$302,0)),"Product not found"),K656-IF(L656="Percentage",ROUND(K656*N(M656)/100,2),IF(L656="Fixed amount",N(M656),0))))</f>
        <v/>
      </c>
      <c r="O656" s="17"/>
    </row>
    <row r="657" spans="1:15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8"/>
      <c r="L657" s="16"/>
      <c r="M657" s="16"/>
      <c r="N657" s="19" t="str">
        <f>IF(A657="","",IF(K657="",IFERROR(INDEX(Products!$S$3:$S$302,MATCH(A657,Products!$A$3:$A$302,0)),"Product not found"),K657-IF(L657="Percentage",ROUND(K657*N(M657)/100,2),IF(L657="Fixed amount",N(M657),0))))</f>
        <v/>
      </c>
      <c r="O657" s="17"/>
    </row>
    <row r="658" spans="1:15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8"/>
      <c r="L658" s="16"/>
      <c r="M658" s="16"/>
      <c r="N658" s="19" t="str">
        <f>IF(A658="","",IF(K658="",IFERROR(INDEX(Products!$S$3:$S$302,MATCH(A658,Products!$A$3:$A$302,0)),"Product not found"),K658-IF(L658="Percentage",ROUND(K658*N(M658)/100,2),IF(L658="Fixed amount",N(M658),0))))</f>
        <v/>
      </c>
      <c r="O658" s="17"/>
    </row>
    <row r="659" spans="1:15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8"/>
      <c r="L659" s="16"/>
      <c r="M659" s="16"/>
      <c r="N659" s="19" t="str">
        <f>IF(A659="","",IF(K659="",IFERROR(INDEX(Products!$S$3:$S$302,MATCH(A659,Products!$A$3:$A$302,0)),"Product not found"),K659-IF(L659="Percentage",ROUND(K659*N(M659)/100,2),IF(L659="Fixed amount",N(M659),0))))</f>
        <v/>
      </c>
      <c r="O659" s="17"/>
    </row>
    <row r="660" spans="1:15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8"/>
      <c r="L660" s="16"/>
      <c r="M660" s="16"/>
      <c r="N660" s="19" t="str">
        <f>IF(A660="","",IF(K660="",IFERROR(INDEX(Products!$S$3:$S$302,MATCH(A660,Products!$A$3:$A$302,0)),"Product not found"),K660-IF(L660="Percentage",ROUND(K660*N(M660)/100,2),IF(L660="Fixed amount",N(M660),0))))</f>
        <v/>
      </c>
      <c r="O660" s="17"/>
    </row>
    <row r="661" spans="1:15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8"/>
      <c r="L661" s="16"/>
      <c r="M661" s="16"/>
      <c r="N661" s="19" t="str">
        <f>IF(A661="","",IF(K661="",IFERROR(INDEX(Products!$S$3:$S$302,MATCH(A661,Products!$A$3:$A$302,0)),"Product not found"),K661-IF(L661="Percentage",ROUND(K661*N(M661)/100,2),IF(L661="Fixed amount",N(M661),0))))</f>
        <v/>
      </c>
      <c r="O661" s="17"/>
    </row>
    <row r="662" spans="1:15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8"/>
      <c r="L662" s="16"/>
      <c r="M662" s="16"/>
      <c r="N662" s="19" t="str">
        <f>IF(A662="","",IF(K662="",IFERROR(INDEX(Products!$S$3:$S$302,MATCH(A662,Products!$A$3:$A$302,0)),"Product not found"),K662-IF(L662="Percentage",ROUND(K662*N(M662)/100,2),IF(L662="Fixed amount",N(M662),0))))</f>
        <v/>
      </c>
      <c r="O662" s="17"/>
    </row>
    <row r="663" spans="1:15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8"/>
      <c r="L663" s="16"/>
      <c r="M663" s="16"/>
      <c r="N663" s="19" t="str">
        <f>IF(A663="","",IF(K663="",IFERROR(INDEX(Products!$S$3:$S$302,MATCH(A663,Products!$A$3:$A$302,0)),"Product not found"),K663-IF(L663="Percentage",ROUND(K663*N(M663)/100,2),IF(L663="Fixed amount",N(M663),0))))</f>
        <v/>
      </c>
      <c r="O663" s="17"/>
    </row>
    <row r="664" spans="1:15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8"/>
      <c r="L664" s="16"/>
      <c r="M664" s="16"/>
      <c r="N664" s="19" t="str">
        <f>IF(A664="","",IF(K664="",IFERROR(INDEX(Products!$S$3:$S$302,MATCH(A664,Products!$A$3:$A$302,0)),"Product not found"),K664-IF(L664="Percentage",ROUND(K664*N(M664)/100,2),IF(L664="Fixed amount",N(M664),0))))</f>
        <v/>
      </c>
      <c r="O664" s="17"/>
    </row>
    <row r="665" spans="1:15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8"/>
      <c r="L665" s="16"/>
      <c r="M665" s="16"/>
      <c r="N665" s="19" t="str">
        <f>IF(A665="","",IF(K665="",IFERROR(INDEX(Products!$S$3:$S$302,MATCH(A665,Products!$A$3:$A$302,0)),"Product not found"),K665-IF(L665="Percentage",ROUND(K665*N(M665)/100,2),IF(L665="Fixed amount",N(M665),0))))</f>
        <v/>
      </c>
      <c r="O665" s="17"/>
    </row>
    <row r="666" spans="1:15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8"/>
      <c r="L666" s="16"/>
      <c r="M666" s="16"/>
      <c r="N666" s="19" t="str">
        <f>IF(A666="","",IF(K666="",IFERROR(INDEX(Products!$S$3:$S$302,MATCH(A666,Products!$A$3:$A$302,0)),"Product not found"),K666-IF(L666="Percentage",ROUND(K666*N(M666)/100,2),IF(L666="Fixed amount",N(M666),0))))</f>
        <v/>
      </c>
      <c r="O666" s="17"/>
    </row>
    <row r="667" spans="1:15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8"/>
      <c r="L667" s="16"/>
      <c r="M667" s="16"/>
      <c r="N667" s="19" t="str">
        <f>IF(A667="","",IF(K667="",IFERROR(INDEX(Products!$S$3:$S$302,MATCH(A667,Products!$A$3:$A$302,0)),"Product not found"),K667-IF(L667="Percentage",ROUND(K667*N(M667)/100,2),IF(L667="Fixed amount",N(M667),0))))</f>
        <v/>
      </c>
      <c r="O667" s="17"/>
    </row>
    <row r="668" spans="1:15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8"/>
      <c r="L668" s="16"/>
      <c r="M668" s="16"/>
      <c r="N668" s="19" t="str">
        <f>IF(A668="","",IF(K668="",IFERROR(INDEX(Products!$S$3:$S$302,MATCH(A668,Products!$A$3:$A$302,0)),"Product not found"),K668-IF(L668="Percentage",ROUND(K668*N(M668)/100,2),IF(L668="Fixed amount",N(M668),0))))</f>
        <v/>
      </c>
      <c r="O668" s="17"/>
    </row>
    <row r="669" spans="1:15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8"/>
      <c r="L669" s="16"/>
      <c r="M669" s="16"/>
      <c r="N669" s="19" t="str">
        <f>IF(A669="","",IF(K669="",IFERROR(INDEX(Products!$S$3:$S$302,MATCH(A669,Products!$A$3:$A$302,0)),"Product not found"),K669-IF(L669="Percentage",ROUND(K669*N(M669)/100,2),IF(L669="Fixed amount",N(M669),0))))</f>
        <v/>
      </c>
      <c r="O669" s="17"/>
    </row>
    <row r="670" spans="1:15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8"/>
      <c r="L670" s="16"/>
      <c r="M670" s="16"/>
      <c r="N670" s="19" t="str">
        <f>IF(A670="","",IF(K670="",IFERROR(INDEX(Products!$S$3:$S$302,MATCH(A670,Products!$A$3:$A$302,0)),"Product not found"),K670-IF(L670="Percentage",ROUND(K670*N(M670)/100,2),IF(L670="Fixed amount",N(M670),0))))</f>
        <v/>
      </c>
      <c r="O670" s="17"/>
    </row>
    <row r="671" spans="1:15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8"/>
      <c r="L671" s="16"/>
      <c r="M671" s="16"/>
      <c r="N671" s="19" t="str">
        <f>IF(A671="","",IF(K671="",IFERROR(INDEX(Products!$S$3:$S$302,MATCH(A671,Products!$A$3:$A$302,0)),"Product not found"),K671-IF(L671="Percentage",ROUND(K671*N(M671)/100,2),IF(L671="Fixed amount",N(M671),0))))</f>
        <v/>
      </c>
      <c r="O671" s="17"/>
    </row>
    <row r="672" spans="1:15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8"/>
      <c r="L672" s="16"/>
      <c r="M672" s="16"/>
      <c r="N672" s="19" t="str">
        <f>IF(A672="","",IF(K672="",IFERROR(INDEX(Products!$S$3:$S$302,MATCH(A672,Products!$A$3:$A$302,0)),"Product not found"),K672-IF(L672="Percentage",ROUND(K672*N(M672)/100,2),IF(L672="Fixed amount",N(M672),0))))</f>
        <v/>
      </c>
      <c r="O672" s="17"/>
    </row>
    <row r="673" spans="1:15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8"/>
      <c r="L673" s="16"/>
      <c r="M673" s="16"/>
      <c r="N673" s="19" t="str">
        <f>IF(A673="","",IF(K673="",IFERROR(INDEX(Products!$S$3:$S$302,MATCH(A673,Products!$A$3:$A$302,0)),"Product not found"),K673-IF(L673="Percentage",ROUND(K673*N(M673)/100,2),IF(L673="Fixed amount",N(M673),0))))</f>
        <v/>
      </c>
      <c r="O673" s="17"/>
    </row>
    <row r="674" spans="1:15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8"/>
      <c r="L674" s="16"/>
      <c r="M674" s="16"/>
      <c r="N674" s="19" t="str">
        <f>IF(A674="","",IF(K674="",IFERROR(INDEX(Products!$S$3:$S$302,MATCH(A674,Products!$A$3:$A$302,0)),"Product not found"),K674-IF(L674="Percentage",ROUND(K674*N(M674)/100,2),IF(L674="Fixed amount",N(M674),0))))</f>
        <v/>
      </c>
      <c r="O674" s="17"/>
    </row>
    <row r="675" spans="1:15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8"/>
      <c r="L675" s="16"/>
      <c r="M675" s="16"/>
      <c r="N675" s="19" t="str">
        <f>IF(A675="","",IF(K675="",IFERROR(INDEX(Products!$S$3:$S$302,MATCH(A675,Products!$A$3:$A$302,0)),"Product not found"),K675-IF(L675="Percentage",ROUND(K675*N(M675)/100,2),IF(L675="Fixed amount",N(M675),0))))</f>
        <v/>
      </c>
      <c r="O675" s="17"/>
    </row>
    <row r="676" spans="1:15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8"/>
      <c r="L676" s="16"/>
      <c r="M676" s="16"/>
      <c r="N676" s="19" t="str">
        <f>IF(A676="","",IF(K676="",IFERROR(INDEX(Products!$S$3:$S$302,MATCH(A676,Products!$A$3:$A$302,0)),"Product not found"),K676-IF(L676="Percentage",ROUND(K676*N(M676)/100,2),IF(L676="Fixed amount",N(M676),0))))</f>
        <v/>
      </c>
      <c r="O676" s="17"/>
    </row>
    <row r="677" spans="1:15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8"/>
      <c r="L677" s="16"/>
      <c r="M677" s="16"/>
      <c r="N677" s="19" t="str">
        <f>IF(A677="","",IF(K677="",IFERROR(INDEX(Products!$S$3:$S$302,MATCH(A677,Products!$A$3:$A$302,0)),"Product not found"),K677-IF(L677="Percentage",ROUND(K677*N(M677)/100,2),IF(L677="Fixed amount",N(M677),0))))</f>
        <v/>
      </c>
      <c r="O677" s="17"/>
    </row>
    <row r="678" spans="1:15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8"/>
      <c r="L678" s="16"/>
      <c r="M678" s="16"/>
      <c r="N678" s="19" t="str">
        <f>IF(A678="","",IF(K678="",IFERROR(INDEX(Products!$S$3:$S$302,MATCH(A678,Products!$A$3:$A$302,0)),"Product not found"),K678-IF(L678="Percentage",ROUND(K678*N(M678)/100,2),IF(L678="Fixed amount",N(M678),0))))</f>
        <v/>
      </c>
      <c r="O678" s="17"/>
    </row>
    <row r="679" spans="1:15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8"/>
      <c r="L679" s="16"/>
      <c r="M679" s="16"/>
      <c r="N679" s="19" t="str">
        <f>IF(A679="","",IF(K679="",IFERROR(INDEX(Products!$S$3:$S$302,MATCH(A679,Products!$A$3:$A$302,0)),"Product not found"),K679-IF(L679="Percentage",ROUND(K679*N(M679)/100,2),IF(L679="Fixed amount",N(M679),0))))</f>
        <v/>
      </c>
      <c r="O679" s="17"/>
    </row>
    <row r="680" spans="1:15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8"/>
      <c r="L680" s="16"/>
      <c r="M680" s="16"/>
      <c r="N680" s="19" t="str">
        <f>IF(A680="","",IF(K680="",IFERROR(INDEX(Products!$S$3:$S$302,MATCH(A680,Products!$A$3:$A$302,0)),"Product not found"),K680-IF(L680="Percentage",ROUND(K680*N(M680)/100,2),IF(L680="Fixed amount",N(M680),0))))</f>
        <v/>
      </c>
      <c r="O680" s="17"/>
    </row>
    <row r="681" spans="1:15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8"/>
      <c r="L681" s="16"/>
      <c r="M681" s="16"/>
      <c r="N681" s="19" t="str">
        <f>IF(A681="","",IF(K681="",IFERROR(INDEX(Products!$S$3:$S$302,MATCH(A681,Products!$A$3:$A$302,0)),"Product not found"),K681-IF(L681="Percentage",ROUND(K681*N(M681)/100,2),IF(L681="Fixed amount",N(M681),0))))</f>
        <v/>
      </c>
      <c r="O681" s="17"/>
    </row>
    <row r="682" spans="1:15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8"/>
      <c r="L682" s="16"/>
      <c r="M682" s="16"/>
      <c r="N682" s="19" t="str">
        <f>IF(A682="","",IF(K682="",IFERROR(INDEX(Products!$S$3:$S$302,MATCH(A682,Products!$A$3:$A$302,0)),"Product not found"),K682-IF(L682="Percentage",ROUND(K682*N(M682)/100,2),IF(L682="Fixed amount",N(M682),0))))</f>
        <v/>
      </c>
      <c r="O682" s="17"/>
    </row>
    <row r="683" spans="1:15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8"/>
      <c r="L683" s="16"/>
      <c r="M683" s="16"/>
      <c r="N683" s="19" t="str">
        <f>IF(A683="","",IF(K683="",IFERROR(INDEX(Products!$S$3:$S$302,MATCH(A683,Products!$A$3:$A$302,0)),"Product not found"),K683-IF(L683="Percentage",ROUND(K683*N(M683)/100,2),IF(L683="Fixed amount",N(M683),0))))</f>
        <v/>
      </c>
      <c r="O683" s="17"/>
    </row>
    <row r="684" spans="1:15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8"/>
      <c r="L684" s="16"/>
      <c r="M684" s="16"/>
      <c r="N684" s="19" t="str">
        <f>IF(A684="","",IF(K684="",IFERROR(INDEX(Products!$S$3:$S$302,MATCH(A684,Products!$A$3:$A$302,0)),"Product not found"),K684-IF(L684="Percentage",ROUND(K684*N(M684)/100,2),IF(L684="Fixed amount",N(M684),0))))</f>
        <v/>
      </c>
      <c r="O684" s="17"/>
    </row>
    <row r="685" spans="1:15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8"/>
      <c r="L685" s="16"/>
      <c r="M685" s="16"/>
      <c r="N685" s="19" t="str">
        <f>IF(A685="","",IF(K685="",IFERROR(INDEX(Products!$S$3:$S$302,MATCH(A685,Products!$A$3:$A$302,0)),"Product not found"),K685-IF(L685="Percentage",ROUND(K685*N(M685)/100,2),IF(L685="Fixed amount",N(M685),0))))</f>
        <v/>
      </c>
      <c r="O685" s="17"/>
    </row>
    <row r="686" spans="1:15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8"/>
      <c r="L686" s="16"/>
      <c r="M686" s="16"/>
      <c r="N686" s="19" t="str">
        <f>IF(A686="","",IF(K686="",IFERROR(INDEX(Products!$S$3:$S$302,MATCH(A686,Products!$A$3:$A$302,0)),"Product not found"),K686-IF(L686="Percentage",ROUND(K686*N(M686)/100,2),IF(L686="Fixed amount",N(M686),0))))</f>
        <v/>
      </c>
      <c r="O686" s="17"/>
    </row>
    <row r="687" spans="1:15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8"/>
      <c r="L687" s="16"/>
      <c r="M687" s="16"/>
      <c r="N687" s="19" t="str">
        <f>IF(A687="","",IF(K687="",IFERROR(INDEX(Products!$S$3:$S$302,MATCH(A687,Products!$A$3:$A$302,0)),"Product not found"),K687-IF(L687="Percentage",ROUND(K687*N(M687)/100,2),IF(L687="Fixed amount",N(M687),0))))</f>
        <v/>
      </c>
      <c r="O687" s="17"/>
    </row>
    <row r="688" spans="1:15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8"/>
      <c r="L688" s="16"/>
      <c r="M688" s="16"/>
      <c r="N688" s="19" t="str">
        <f>IF(A688="","",IF(K688="",IFERROR(INDEX(Products!$S$3:$S$302,MATCH(A688,Products!$A$3:$A$302,0)),"Product not found"),K688-IF(L688="Percentage",ROUND(K688*N(M688)/100,2),IF(L688="Fixed amount",N(M688),0))))</f>
        <v/>
      </c>
      <c r="O688" s="17"/>
    </row>
    <row r="689" spans="1:15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8"/>
      <c r="L689" s="16"/>
      <c r="M689" s="16"/>
      <c r="N689" s="19" t="str">
        <f>IF(A689="","",IF(K689="",IFERROR(INDEX(Products!$S$3:$S$302,MATCH(A689,Products!$A$3:$A$302,0)),"Product not found"),K689-IF(L689="Percentage",ROUND(K689*N(M689)/100,2),IF(L689="Fixed amount",N(M689),0))))</f>
        <v/>
      </c>
      <c r="O689" s="17"/>
    </row>
    <row r="690" spans="1:15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8"/>
      <c r="L690" s="16"/>
      <c r="M690" s="16"/>
      <c r="N690" s="19" t="str">
        <f>IF(A690="","",IF(K690="",IFERROR(INDEX(Products!$S$3:$S$302,MATCH(A690,Products!$A$3:$A$302,0)),"Product not found"),K690-IF(L690="Percentage",ROUND(K690*N(M690)/100,2),IF(L690="Fixed amount",N(M690),0))))</f>
        <v/>
      </c>
      <c r="O690" s="17"/>
    </row>
    <row r="691" spans="1:15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8"/>
      <c r="L691" s="16"/>
      <c r="M691" s="16"/>
      <c r="N691" s="19" t="str">
        <f>IF(A691="","",IF(K691="",IFERROR(INDEX(Products!$S$3:$S$302,MATCH(A691,Products!$A$3:$A$302,0)),"Product not found"),K691-IF(L691="Percentage",ROUND(K691*N(M691)/100,2),IF(L691="Fixed amount",N(M691),0))))</f>
        <v/>
      </c>
      <c r="O691" s="17"/>
    </row>
    <row r="692" spans="1:15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8"/>
      <c r="L692" s="16"/>
      <c r="M692" s="16"/>
      <c r="N692" s="19" t="str">
        <f>IF(A692="","",IF(K692="",IFERROR(INDEX(Products!$S$3:$S$302,MATCH(A692,Products!$A$3:$A$302,0)),"Product not found"),K692-IF(L692="Percentage",ROUND(K692*N(M692)/100,2),IF(L692="Fixed amount",N(M692),0))))</f>
        <v/>
      </c>
      <c r="O692" s="17"/>
    </row>
    <row r="693" spans="1:15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8"/>
      <c r="L693" s="16"/>
      <c r="M693" s="16"/>
      <c r="N693" s="19" t="str">
        <f>IF(A693="","",IF(K693="",IFERROR(INDEX(Products!$S$3:$S$302,MATCH(A693,Products!$A$3:$A$302,0)),"Product not found"),K693-IF(L693="Percentage",ROUND(K693*N(M693)/100,2),IF(L693="Fixed amount",N(M693),0))))</f>
        <v/>
      </c>
      <c r="O693" s="17"/>
    </row>
    <row r="694" spans="1:15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8"/>
      <c r="L694" s="16"/>
      <c r="M694" s="16"/>
      <c r="N694" s="19" t="str">
        <f>IF(A694="","",IF(K694="",IFERROR(INDEX(Products!$S$3:$S$302,MATCH(A694,Products!$A$3:$A$302,0)),"Product not found"),K694-IF(L694="Percentage",ROUND(K694*N(M694)/100,2),IF(L694="Fixed amount",N(M694),0))))</f>
        <v/>
      </c>
      <c r="O694" s="17"/>
    </row>
    <row r="695" spans="1:15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8"/>
      <c r="L695" s="16"/>
      <c r="M695" s="16"/>
      <c r="N695" s="19" t="str">
        <f>IF(A695="","",IF(K695="",IFERROR(INDEX(Products!$S$3:$S$302,MATCH(A695,Products!$A$3:$A$302,0)),"Product not found"),K695-IF(L695="Percentage",ROUND(K695*N(M695)/100,2),IF(L695="Fixed amount",N(M695),0))))</f>
        <v/>
      </c>
      <c r="O695" s="17"/>
    </row>
    <row r="696" spans="1:15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8"/>
      <c r="L696" s="16"/>
      <c r="M696" s="16"/>
      <c r="N696" s="19" t="str">
        <f>IF(A696="","",IF(K696="",IFERROR(INDEX(Products!$S$3:$S$302,MATCH(A696,Products!$A$3:$A$302,0)),"Product not found"),K696-IF(L696="Percentage",ROUND(K696*N(M696)/100,2),IF(L696="Fixed amount",N(M696),0))))</f>
        <v/>
      </c>
      <c r="O696" s="17"/>
    </row>
    <row r="697" spans="1:15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8"/>
      <c r="L697" s="16"/>
      <c r="M697" s="16"/>
      <c r="N697" s="19" t="str">
        <f>IF(A697="","",IF(K697="",IFERROR(INDEX(Products!$S$3:$S$302,MATCH(A697,Products!$A$3:$A$302,0)),"Product not found"),K697-IF(L697="Percentage",ROUND(K697*N(M697)/100,2),IF(L697="Fixed amount",N(M697),0))))</f>
        <v/>
      </c>
      <c r="O697" s="17"/>
    </row>
    <row r="698" spans="1:15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8"/>
      <c r="L698" s="16"/>
      <c r="M698" s="16"/>
      <c r="N698" s="19" t="str">
        <f>IF(A698="","",IF(K698="",IFERROR(INDEX(Products!$S$3:$S$302,MATCH(A698,Products!$A$3:$A$302,0)),"Product not found"),K698-IF(L698="Percentage",ROUND(K698*N(M698)/100,2),IF(L698="Fixed amount",N(M698),0))))</f>
        <v/>
      </c>
      <c r="O698" s="17"/>
    </row>
    <row r="699" spans="1:15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8"/>
      <c r="L699" s="16"/>
      <c r="M699" s="16"/>
      <c r="N699" s="19" t="str">
        <f>IF(A699="","",IF(K699="",IFERROR(INDEX(Products!$S$3:$S$302,MATCH(A699,Products!$A$3:$A$302,0)),"Product not found"),K699-IF(L699="Percentage",ROUND(K699*N(M699)/100,2),IF(L699="Fixed amount",N(M699),0))))</f>
        <v/>
      </c>
      <c r="O699" s="17"/>
    </row>
    <row r="700" spans="1:15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8"/>
      <c r="L700" s="16"/>
      <c r="M700" s="16"/>
      <c r="N700" s="19" t="str">
        <f>IF(A700="","",IF(K700="",IFERROR(INDEX(Products!$S$3:$S$302,MATCH(A700,Products!$A$3:$A$302,0)),"Product not found"),K700-IF(L700="Percentage",ROUND(K700*N(M700)/100,2),IF(L700="Fixed amount",N(M700),0))))</f>
        <v/>
      </c>
      <c r="O700" s="17"/>
    </row>
    <row r="701" spans="1:15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8"/>
      <c r="L701" s="16"/>
      <c r="M701" s="16"/>
      <c r="N701" s="19" t="str">
        <f>IF(A701="","",IF(K701="",IFERROR(INDEX(Products!$S$3:$S$302,MATCH(A701,Products!$A$3:$A$302,0)),"Product not found"),K701-IF(L701="Percentage",ROUND(K701*N(M701)/100,2),IF(L701="Fixed amount",N(M701),0))))</f>
        <v/>
      </c>
      <c r="O701" s="17"/>
    </row>
    <row r="702" spans="1:15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8"/>
      <c r="L702" s="16"/>
      <c r="M702" s="16"/>
      <c r="N702" s="19" t="str">
        <f>IF(A702="","",IF(K702="",IFERROR(INDEX(Products!$S$3:$S$302,MATCH(A702,Products!$A$3:$A$302,0)),"Product not found"),K702-IF(L702="Percentage",ROUND(K702*N(M702)/100,2),IF(L702="Fixed amount",N(M702),0))))</f>
        <v/>
      </c>
      <c r="O702" s="17"/>
    </row>
    <row r="703" spans="1:15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8"/>
      <c r="L703" s="16"/>
      <c r="M703" s="16"/>
      <c r="N703" s="19" t="str">
        <f>IF(A703="","",IF(K703="",IFERROR(INDEX(Products!$S$3:$S$302,MATCH(A703,Products!$A$3:$A$302,0)),"Product not found"),K703-IF(L703="Percentage",ROUND(K703*N(M703)/100,2),IF(L703="Fixed amount",N(M703),0))))</f>
        <v/>
      </c>
      <c r="O703" s="17"/>
    </row>
    <row r="704" spans="1:15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8"/>
      <c r="L704" s="16"/>
      <c r="M704" s="16"/>
      <c r="N704" s="19" t="str">
        <f>IF(A704="","",IF(K704="",IFERROR(INDEX(Products!$S$3:$S$302,MATCH(A704,Products!$A$3:$A$302,0)),"Product not found"),K704-IF(L704="Percentage",ROUND(K704*N(M704)/100,2),IF(L704="Fixed amount",N(M704),0))))</f>
        <v/>
      </c>
      <c r="O704" s="17"/>
    </row>
    <row r="705" spans="1:15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8"/>
      <c r="L705" s="16"/>
      <c r="M705" s="16"/>
      <c r="N705" s="19" t="str">
        <f>IF(A705="","",IF(K705="",IFERROR(INDEX(Products!$S$3:$S$302,MATCH(A705,Products!$A$3:$A$302,0)),"Product not found"),K705-IF(L705="Percentage",ROUND(K705*N(M705)/100,2),IF(L705="Fixed amount",N(M705),0))))</f>
        <v/>
      </c>
      <c r="O705" s="17"/>
    </row>
    <row r="706" spans="1:15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8"/>
      <c r="L706" s="16"/>
      <c r="M706" s="16"/>
      <c r="N706" s="19" t="str">
        <f>IF(A706="","",IF(K706="",IFERROR(INDEX(Products!$S$3:$S$302,MATCH(A706,Products!$A$3:$A$302,0)),"Product not found"),K706-IF(L706="Percentage",ROUND(K706*N(M706)/100,2),IF(L706="Fixed amount",N(M706),0))))</f>
        <v/>
      </c>
      <c r="O706" s="17"/>
    </row>
    <row r="707" spans="1:15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8"/>
      <c r="L707" s="16"/>
      <c r="M707" s="16"/>
      <c r="N707" s="19" t="str">
        <f>IF(A707="","",IF(K707="",IFERROR(INDEX(Products!$S$3:$S$302,MATCH(A707,Products!$A$3:$A$302,0)),"Product not found"),K707-IF(L707="Percentage",ROUND(K707*N(M707)/100,2),IF(L707="Fixed amount",N(M707),0))))</f>
        <v/>
      </c>
      <c r="O707" s="17"/>
    </row>
    <row r="708" spans="1:15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8"/>
      <c r="L708" s="16"/>
      <c r="M708" s="16"/>
      <c r="N708" s="19" t="str">
        <f>IF(A708="","",IF(K708="",IFERROR(INDEX(Products!$S$3:$S$302,MATCH(A708,Products!$A$3:$A$302,0)),"Product not found"),K708-IF(L708="Percentage",ROUND(K708*N(M708)/100,2),IF(L708="Fixed amount",N(M708),0))))</f>
        <v/>
      </c>
      <c r="O708" s="17"/>
    </row>
    <row r="709" spans="1:15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8"/>
      <c r="L709" s="16"/>
      <c r="M709" s="16"/>
      <c r="N709" s="19" t="str">
        <f>IF(A709="","",IF(K709="",IFERROR(INDEX(Products!$S$3:$S$302,MATCH(A709,Products!$A$3:$A$302,0)),"Product not found"),K709-IF(L709="Percentage",ROUND(K709*N(M709)/100,2),IF(L709="Fixed amount",N(M709),0))))</f>
        <v/>
      </c>
      <c r="O709" s="17"/>
    </row>
    <row r="710" spans="1:15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8"/>
      <c r="L710" s="16"/>
      <c r="M710" s="16"/>
      <c r="N710" s="19" t="str">
        <f>IF(A710="","",IF(K710="",IFERROR(INDEX(Products!$S$3:$S$302,MATCH(A710,Products!$A$3:$A$302,0)),"Product not found"),K710-IF(L710="Percentage",ROUND(K710*N(M710)/100,2),IF(L710="Fixed amount",N(M710),0))))</f>
        <v/>
      </c>
      <c r="O710" s="17"/>
    </row>
    <row r="711" spans="1:15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8"/>
      <c r="L711" s="16"/>
      <c r="M711" s="16"/>
      <c r="N711" s="19" t="str">
        <f>IF(A711="","",IF(K711="",IFERROR(INDEX(Products!$S$3:$S$302,MATCH(A711,Products!$A$3:$A$302,0)),"Product not found"),K711-IF(L711="Percentage",ROUND(K711*N(M711)/100,2),IF(L711="Fixed amount",N(M711),0))))</f>
        <v/>
      </c>
      <c r="O711" s="17"/>
    </row>
    <row r="712" spans="1:15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8"/>
      <c r="L712" s="16"/>
      <c r="M712" s="16"/>
      <c r="N712" s="19" t="str">
        <f>IF(A712="","",IF(K712="",IFERROR(INDEX(Products!$S$3:$S$302,MATCH(A712,Products!$A$3:$A$302,0)),"Product not found"),K712-IF(L712="Percentage",ROUND(K712*N(M712)/100,2),IF(L712="Fixed amount",N(M712),0))))</f>
        <v/>
      </c>
      <c r="O712" s="17"/>
    </row>
    <row r="713" spans="1:15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8"/>
      <c r="L713" s="16"/>
      <c r="M713" s="16"/>
      <c r="N713" s="19" t="str">
        <f>IF(A713="","",IF(K713="",IFERROR(INDEX(Products!$S$3:$S$302,MATCH(A713,Products!$A$3:$A$302,0)),"Product not found"),K713-IF(L713="Percentage",ROUND(K713*N(M713)/100,2),IF(L713="Fixed amount",N(M713),0))))</f>
        <v/>
      </c>
      <c r="O713" s="17"/>
    </row>
    <row r="714" spans="1:15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8"/>
      <c r="L714" s="16"/>
      <c r="M714" s="16"/>
      <c r="N714" s="19" t="str">
        <f>IF(A714="","",IF(K714="",IFERROR(INDEX(Products!$S$3:$S$302,MATCH(A714,Products!$A$3:$A$302,0)),"Product not found"),K714-IF(L714="Percentage",ROUND(K714*N(M714)/100,2),IF(L714="Fixed amount",N(M714),0))))</f>
        <v/>
      </c>
      <c r="O714" s="17"/>
    </row>
    <row r="715" spans="1:15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8"/>
      <c r="L715" s="16"/>
      <c r="M715" s="16"/>
      <c r="N715" s="19" t="str">
        <f>IF(A715="","",IF(K715="",IFERROR(INDEX(Products!$S$3:$S$302,MATCH(A715,Products!$A$3:$A$302,0)),"Product not found"),K715-IF(L715="Percentage",ROUND(K715*N(M715)/100,2),IF(L715="Fixed amount",N(M715),0))))</f>
        <v/>
      </c>
      <c r="O715" s="17"/>
    </row>
    <row r="716" spans="1:15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8"/>
      <c r="L716" s="16"/>
      <c r="M716" s="16"/>
      <c r="N716" s="19" t="str">
        <f>IF(A716="","",IF(K716="",IFERROR(INDEX(Products!$S$3:$S$302,MATCH(A716,Products!$A$3:$A$302,0)),"Product not found"),K716-IF(L716="Percentage",ROUND(K716*N(M716)/100,2),IF(L716="Fixed amount",N(M716),0))))</f>
        <v/>
      </c>
      <c r="O716" s="17"/>
    </row>
    <row r="717" spans="1:15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8"/>
      <c r="L717" s="16"/>
      <c r="M717" s="16"/>
      <c r="N717" s="19" t="str">
        <f>IF(A717="","",IF(K717="",IFERROR(INDEX(Products!$S$3:$S$302,MATCH(A717,Products!$A$3:$A$302,0)),"Product not found"),K717-IF(L717="Percentage",ROUND(K717*N(M717)/100,2),IF(L717="Fixed amount",N(M717),0))))</f>
        <v/>
      </c>
      <c r="O717" s="17"/>
    </row>
    <row r="718" spans="1:15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8"/>
      <c r="L718" s="16"/>
      <c r="M718" s="16"/>
      <c r="N718" s="19" t="str">
        <f>IF(A718="","",IF(K718="",IFERROR(INDEX(Products!$S$3:$S$302,MATCH(A718,Products!$A$3:$A$302,0)),"Product not found"),K718-IF(L718="Percentage",ROUND(K718*N(M718)/100,2),IF(L718="Fixed amount",N(M718),0))))</f>
        <v/>
      </c>
      <c r="O718" s="17"/>
    </row>
    <row r="719" spans="1:15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8"/>
      <c r="L719" s="16"/>
      <c r="M719" s="16"/>
      <c r="N719" s="19" t="str">
        <f>IF(A719="","",IF(K719="",IFERROR(INDEX(Products!$S$3:$S$302,MATCH(A719,Products!$A$3:$A$302,0)),"Product not found"),K719-IF(L719="Percentage",ROUND(K719*N(M719)/100,2),IF(L719="Fixed amount",N(M719),0))))</f>
        <v/>
      </c>
      <c r="O719" s="17"/>
    </row>
    <row r="720" spans="1:15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8"/>
      <c r="L720" s="16"/>
      <c r="M720" s="16"/>
      <c r="N720" s="19" t="str">
        <f>IF(A720="","",IF(K720="",IFERROR(INDEX(Products!$S$3:$S$302,MATCH(A720,Products!$A$3:$A$302,0)),"Product not found"),K720-IF(L720="Percentage",ROUND(K720*N(M720)/100,2),IF(L720="Fixed amount",N(M720),0))))</f>
        <v/>
      </c>
      <c r="O720" s="17"/>
    </row>
    <row r="721" spans="1:15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8"/>
      <c r="L721" s="16"/>
      <c r="M721" s="16"/>
      <c r="N721" s="19" t="str">
        <f>IF(A721="","",IF(K721="",IFERROR(INDEX(Products!$S$3:$S$302,MATCH(A721,Products!$A$3:$A$302,0)),"Product not found"),K721-IF(L721="Percentage",ROUND(K721*N(M721)/100,2),IF(L721="Fixed amount",N(M721),0))))</f>
        <v/>
      </c>
      <c r="O721" s="17"/>
    </row>
    <row r="722" spans="1:15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8"/>
      <c r="L722" s="16"/>
      <c r="M722" s="16"/>
      <c r="N722" s="19" t="str">
        <f>IF(A722="","",IF(K722="",IFERROR(INDEX(Products!$S$3:$S$302,MATCH(A722,Products!$A$3:$A$302,0)),"Product not found"),K722-IF(L722="Percentage",ROUND(K722*N(M722)/100,2),IF(L722="Fixed amount",N(M722),0))))</f>
        <v/>
      </c>
      <c r="O722" s="17"/>
    </row>
    <row r="723" spans="1:15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8"/>
      <c r="L723" s="16"/>
      <c r="M723" s="16"/>
      <c r="N723" s="19" t="str">
        <f>IF(A723="","",IF(K723="",IFERROR(INDEX(Products!$S$3:$S$302,MATCH(A723,Products!$A$3:$A$302,0)),"Product not found"),K723-IF(L723="Percentage",ROUND(K723*N(M723)/100,2),IF(L723="Fixed amount",N(M723),0))))</f>
        <v/>
      </c>
      <c r="O723" s="17"/>
    </row>
    <row r="724" spans="1:15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8"/>
      <c r="L724" s="16"/>
      <c r="M724" s="16"/>
      <c r="N724" s="19" t="str">
        <f>IF(A724="","",IF(K724="",IFERROR(INDEX(Products!$S$3:$S$302,MATCH(A724,Products!$A$3:$A$302,0)),"Product not found"),K724-IF(L724="Percentage",ROUND(K724*N(M724)/100,2),IF(L724="Fixed amount",N(M724),0))))</f>
        <v/>
      </c>
      <c r="O724" s="17"/>
    </row>
    <row r="725" spans="1:15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8"/>
      <c r="L725" s="16"/>
      <c r="M725" s="16"/>
      <c r="N725" s="19" t="str">
        <f>IF(A725="","",IF(K725="",IFERROR(INDEX(Products!$S$3:$S$302,MATCH(A725,Products!$A$3:$A$302,0)),"Product not found"),K725-IF(L725="Percentage",ROUND(K725*N(M725)/100,2),IF(L725="Fixed amount",N(M725),0))))</f>
        <v/>
      </c>
      <c r="O725" s="17"/>
    </row>
    <row r="726" spans="1:15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8"/>
      <c r="L726" s="16"/>
      <c r="M726" s="16"/>
      <c r="N726" s="19" t="str">
        <f>IF(A726="","",IF(K726="",IFERROR(INDEX(Products!$S$3:$S$302,MATCH(A726,Products!$A$3:$A$302,0)),"Product not found"),K726-IF(L726="Percentage",ROUND(K726*N(M726)/100,2),IF(L726="Fixed amount",N(M726),0))))</f>
        <v/>
      </c>
      <c r="O726" s="17"/>
    </row>
    <row r="727" spans="1:15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8"/>
      <c r="L727" s="16"/>
      <c r="M727" s="16"/>
      <c r="N727" s="19" t="str">
        <f>IF(A727="","",IF(K727="",IFERROR(INDEX(Products!$S$3:$S$302,MATCH(A727,Products!$A$3:$A$302,0)),"Product not found"),K727-IF(L727="Percentage",ROUND(K727*N(M727)/100,2),IF(L727="Fixed amount",N(M727),0))))</f>
        <v/>
      </c>
      <c r="O727" s="17"/>
    </row>
    <row r="728" spans="1:15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8"/>
      <c r="L728" s="16"/>
      <c r="M728" s="16"/>
      <c r="N728" s="19" t="str">
        <f>IF(A728="","",IF(K728="",IFERROR(INDEX(Products!$S$3:$S$302,MATCH(A728,Products!$A$3:$A$302,0)),"Product not found"),K728-IF(L728="Percentage",ROUND(K728*N(M728)/100,2),IF(L728="Fixed amount",N(M728),0))))</f>
        <v/>
      </c>
      <c r="O728" s="17"/>
    </row>
    <row r="729" spans="1:15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8"/>
      <c r="L729" s="16"/>
      <c r="M729" s="16"/>
      <c r="N729" s="19" t="str">
        <f>IF(A729="","",IF(K729="",IFERROR(INDEX(Products!$S$3:$S$302,MATCH(A729,Products!$A$3:$A$302,0)),"Product not found"),K729-IF(L729="Percentage",ROUND(K729*N(M729)/100,2),IF(L729="Fixed amount",N(M729),0))))</f>
        <v/>
      </c>
      <c r="O729" s="17"/>
    </row>
    <row r="730" spans="1:15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8"/>
      <c r="L730" s="16"/>
      <c r="M730" s="16"/>
      <c r="N730" s="19" t="str">
        <f>IF(A730="","",IF(K730="",IFERROR(INDEX(Products!$S$3:$S$302,MATCH(A730,Products!$A$3:$A$302,0)),"Product not found"),K730-IF(L730="Percentage",ROUND(K730*N(M730)/100,2),IF(L730="Fixed amount",N(M730),0))))</f>
        <v/>
      </c>
      <c r="O730" s="17"/>
    </row>
    <row r="731" spans="1:15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8"/>
      <c r="L731" s="16"/>
      <c r="M731" s="16"/>
      <c r="N731" s="19" t="str">
        <f>IF(A731="","",IF(K731="",IFERROR(INDEX(Products!$S$3:$S$302,MATCH(A731,Products!$A$3:$A$302,0)),"Product not found"),K731-IF(L731="Percentage",ROUND(K731*N(M731)/100,2),IF(L731="Fixed amount",N(M731),0))))</f>
        <v/>
      </c>
      <c r="O731" s="17"/>
    </row>
    <row r="732" spans="1:15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8"/>
      <c r="L732" s="16"/>
      <c r="M732" s="16"/>
      <c r="N732" s="19" t="str">
        <f>IF(A732="","",IF(K732="",IFERROR(INDEX(Products!$S$3:$S$302,MATCH(A732,Products!$A$3:$A$302,0)),"Product not found"),K732-IF(L732="Percentage",ROUND(K732*N(M732)/100,2),IF(L732="Fixed amount",N(M732),0))))</f>
        <v/>
      </c>
      <c r="O732" s="17"/>
    </row>
    <row r="733" spans="1:15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8"/>
      <c r="L733" s="16"/>
      <c r="M733" s="16"/>
      <c r="N733" s="19" t="str">
        <f>IF(A733="","",IF(K733="",IFERROR(INDEX(Products!$S$3:$S$302,MATCH(A733,Products!$A$3:$A$302,0)),"Product not found"),K733-IF(L733="Percentage",ROUND(K733*N(M733)/100,2),IF(L733="Fixed amount",N(M733),0))))</f>
        <v/>
      </c>
      <c r="O733" s="17"/>
    </row>
    <row r="734" spans="1:15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8"/>
      <c r="L734" s="16"/>
      <c r="M734" s="16"/>
      <c r="N734" s="19" t="str">
        <f>IF(A734="","",IF(K734="",IFERROR(INDEX(Products!$S$3:$S$302,MATCH(A734,Products!$A$3:$A$302,0)),"Product not found"),K734-IF(L734="Percentage",ROUND(K734*N(M734)/100,2),IF(L734="Fixed amount",N(M734),0))))</f>
        <v/>
      </c>
      <c r="O734" s="17"/>
    </row>
    <row r="735" spans="1:15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8"/>
      <c r="L735" s="16"/>
      <c r="M735" s="16"/>
      <c r="N735" s="19" t="str">
        <f>IF(A735="","",IF(K735="",IFERROR(INDEX(Products!$S$3:$S$302,MATCH(A735,Products!$A$3:$A$302,0)),"Product not found"),K735-IF(L735="Percentage",ROUND(K735*N(M735)/100,2),IF(L735="Fixed amount",N(M735),0))))</f>
        <v/>
      </c>
      <c r="O735" s="17"/>
    </row>
    <row r="736" spans="1:15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8"/>
      <c r="L736" s="16"/>
      <c r="M736" s="16"/>
      <c r="N736" s="19" t="str">
        <f>IF(A736="","",IF(K736="",IFERROR(INDEX(Products!$S$3:$S$302,MATCH(A736,Products!$A$3:$A$302,0)),"Product not found"),K736-IF(L736="Percentage",ROUND(K736*N(M736)/100,2),IF(L736="Fixed amount",N(M736),0))))</f>
        <v/>
      </c>
      <c r="O736" s="17"/>
    </row>
    <row r="737" spans="1:15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8"/>
      <c r="L737" s="16"/>
      <c r="M737" s="16"/>
      <c r="N737" s="19" t="str">
        <f>IF(A737="","",IF(K737="",IFERROR(INDEX(Products!$S$3:$S$302,MATCH(A737,Products!$A$3:$A$302,0)),"Product not found"),K737-IF(L737="Percentage",ROUND(K737*N(M737)/100,2),IF(L737="Fixed amount",N(M737),0))))</f>
        <v/>
      </c>
      <c r="O737" s="17"/>
    </row>
    <row r="738" spans="1:15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8"/>
      <c r="L738" s="16"/>
      <c r="M738" s="16"/>
      <c r="N738" s="19" t="str">
        <f>IF(A738="","",IF(K738="",IFERROR(INDEX(Products!$S$3:$S$302,MATCH(A738,Products!$A$3:$A$302,0)),"Product not found"),K738-IF(L738="Percentage",ROUND(K738*N(M738)/100,2),IF(L738="Fixed amount",N(M738),0))))</f>
        <v/>
      </c>
      <c r="O738" s="17"/>
    </row>
    <row r="739" spans="1:15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8"/>
      <c r="L739" s="16"/>
      <c r="M739" s="16"/>
      <c r="N739" s="19" t="str">
        <f>IF(A739="","",IF(K739="",IFERROR(INDEX(Products!$S$3:$S$302,MATCH(A739,Products!$A$3:$A$302,0)),"Product not found"),K739-IF(L739="Percentage",ROUND(K739*N(M739)/100,2),IF(L739="Fixed amount",N(M739),0))))</f>
        <v/>
      </c>
      <c r="O739" s="17"/>
    </row>
    <row r="740" spans="1:15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8"/>
      <c r="L740" s="16"/>
      <c r="M740" s="16"/>
      <c r="N740" s="19" t="str">
        <f>IF(A740="","",IF(K740="",IFERROR(INDEX(Products!$S$3:$S$302,MATCH(A740,Products!$A$3:$A$302,0)),"Product not found"),K740-IF(L740="Percentage",ROUND(K740*N(M740)/100,2),IF(L740="Fixed amount",N(M740),0))))</f>
        <v/>
      </c>
      <c r="O740" s="17"/>
    </row>
    <row r="741" spans="1:15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8"/>
      <c r="L741" s="16"/>
      <c r="M741" s="16"/>
      <c r="N741" s="19" t="str">
        <f>IF(A741="","",IF(K741="",IFERROR(INDEX(Products!$S$3:$S$302,MATCH(A741,Products!$A$3:$A$302,0)),"Product not found"),K741-IF(L741="Percentage",ROUND(K741*N(M741)/100,2),IF(L741="Fixed amount",N(M741),0))))</f>
        <v/>
      </c>
      <c r="O741" s="17"/>
    </row>
    <row r="742" spans="1:15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8"/>
      <c r="L742" s="16"/>
      <c r="M742" s="16"/>
      <c r="N742" s="19" t="str">
        <f>IF(A742="","",IF(K742="",IFERROR(INDEX(Products!$S$3:$S$302,MATCH(A742,Products!$A$3:$A$302,0)),"Product not found"),K742-IF(L742="Percentage",ROUND(K742*N(M742)/100,2),IF(L742="Fixed amount",N(M742),0))))</f>
        <v/>
      </c>
      <c r="O742" s="17"/>
    </row>
    <row r="743" spans="1:15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8"/>
      <c r="L743" s="16"/>
      <c r="M743" s="16"/>
      <c r="N743" s="19" t="str">
        <f>IF(A743="","",IF(K743="",IFERROR(INDEX(Products!$S$3:$S$302,MATCH(A743,Products!$A$3:$A$302,0)),"Product not found"),K743-IF(L743="Percentage",ROUND(K743*N(M743)/100,2),IF(L743="Fixed amount",N(M743),0))))</f>
        <v/>
      </c>
      <c r="O743" s="17"/>
    </row>
    <row r="744" spans="1:15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8"/>
      <c r="L744" s="16"/>
      <c r="M744" s="16"/>
      <c r="N744" s="19" t="str">
        <f>IF(A744="","",IF(K744="",IFERROR(INDEX(Products!$S$3:$S$302,MATCH(A744,Products!$A$3:$A$302,0)),"Product not found"),K744-IF(L744="Percentage",ROUND(K744*N(M744)/100,2),IF(L744="Fixed amount",N(M744),0))))</f>
        <v/>
      </c>
      <c r="O744" s="17"/>
    </row>
    <row r="745" spans="1:15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8"/>
      <c r="L745" s="16"/>
      <c r="M745" s="16"/>
      <c r="N745" s="19" t="str">
        <f>IF(A745="","",IF(K745="",IFERROR(INDEX(Products!$S$3:$S$302,MATCH(A745,Products!$A$3:$A$302,0)),"Product not found"),K745-IF(L745="Percentage",ROUND(K745*N(M745)/100,2),IF(L745="Fixed amount",N(M745),0))))</f>
        <v/>
      </c>
      <c r="O745" s="17"/>
    </row>
    <row r="746" spans="1:15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8"/>
      <c r="L746" s="16"/>
      <c r="M746" s="16"/>
      <c r="N746" s="19" t="str">
        <f>IF(A746="","",IF(K746="",IFERROR(INDEX(Products!$S$3:$S$302,MATCH(A746,Products!$A$3:$A$302,0)),"Product not found"),K746-IF(L746="Percentage",ROUND(K746*N(M746)/100,2),IF(L746="Fixed amount",N(M746),0))))</f>
        <v/>
      </c>
      <c r="O746" s="17"/>
    </row>
    <row r="747" spans="1:15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8"/>
      <c r="L747" s="16"/>
      <c r="M747" s="16"/>
      <c r="N747" s="19" t="str">
        <f>IF(A747="","",IF(K747="",IFERROR(INDEX(Products!$S$3:$S$302,MATCH(A747,Products!$A$3:$A$302,0)),"Product not found"),K747-IF(L747="Percentage",ROUND(K747*N(M747)/100,2),IF(L747="Fixed amount",N(M747),0))))</f>
        <v/>
      </c>
      <c r="O747" s="17"/>
    </row>
    <row r="748" spans="1:15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8"/>
      <c r="L748" s="16"/>
      <c r="M748" s="16"/>
      <c r="N748" s="19" t="str">
        <f>IF(A748="","",IF(K748="",IFERROR(INDEX(Products!$S$3:$S$302,MATCH(A748,Products!$A$3:$A$302,0)),"Product not found"),K748-IF(L748="Percentage",ROUND(K748*N(M748)/100,2),IF(L748="Fixed amount",N(M748),0))))</f>
        <v/>
      </c>
      <c r="O748" s="17"/>
    </row>
    <row r="749" spans="1:15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8"/>
      <c r="L749" s="16"/>
      <c r="M749" s="16"/>
      <c r="N749" s="19" t="str">
        <f>IF(A749="","",IF(K749="",IFERROR(INDEX(Products!$S$3:$S$302,MATCH(A749,Products!$A$3:$A$302,0)),"Product not found"),K749-IF(L749="Percentage",ROUND(K749*N(M749)/100,2),IF(L749="Fixed amount",N(M749),0))))</f>
        <v/>
      </c>
      <c r="O749" s="17"/>
    </row>
    <row r="750" spans="1:15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8"/>
      <c r="L750" s="16"/>
      <c r="M750" s="16"/>
      <c r="N750" s="19" t="str">
        <f>IF(A750="","",IF(K750="",IFERROR(INDEX(Products!$S$3:$S$302,MATCH(A750,Products!$A$3:$A$302,0)),"Product not found"),K750-IF(L750="Percentage",ROUND(K750*N(M750)/100,2),IF(L750="Fixed amount",N(M750),0))))</f>
        <v/>
      </c>
      <c r="O750" s="17"/>
    </row>
    <row r="751" spans="1:15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8"/>
      <c r="L751" s="16"/>
      <c r="M751" s="16"/>
      <c r="N751" s="19" t="str">
        <f>IF(A751="","",IF(K751="",IFERROR(INDEX(Products!$S$3:$S$302,MATCH(A751,Products!$A$3:$A$302,0)),"Product not found"),K751-IF(L751="Percentage",ROUND(K751*N(M751)/100,2),IF(L751="Fixed amount",N(M751),0))))</f>
        <v/>
      </c>
      <c r="O751" s="17"/>
    </row>
    <row r="752" spans="1:15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8"/>
      <c r="L752" s="16"/>
      <c r="M752" s="16"/>
      <c r="N752" s="19" t="str">
        <f>IF(A752="","",IF(K752="",IFERROR(INDEX(Products!$S$3:$S$302,MATCH(A752,Products!$A$3:$A$302,0)),"Product not found"),K752-IF(L752="Percentage",ROUND(K752*N(M752)/100,2),IF(L752="Fixed amount",N(M752),0))))</f>
        <v/>
      </c>
      <c r="O752" s="17"/>
    </row>
    <row r="753" spans="1:15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8"/>
      <c r="L753" s="16"/>
      <c r="M753" s="16"/>
      <c r="N753" s="19" t="str">
        <f>IF(A753="","",IF(K753="",IFERROR(INDEX(Products!$S$3:$S$302,MATCH(A753,Products!$A$3:$A$302,0)),"Product not found"),K753-IF(L753="Percentage",ROUND(K753*N(M753)/100,2),IF(L753="Fixed amount",N(M753),0))))</f>
        <v/>
      </c>
      <c r="O753" s="17"/>
    </row>
    <row r="754" spans="1:15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8"/>
      <c r="L754" s="16"/>
      <c r="M754" s="16"/>
      <c r="N754" s="19" t="str">
        <f>IF(A754="","",IF(K754="",IFERROR(INDEX(Products!$S$3:$S$302,MATCH(A754,Products!$A$3:$A$302,0)),"Product not found"),K754-IF(L754="Percentage",ROUND(K754*N(M754)/100,2),IF(L754="Fixed amount",N(M754),0))))</f>
        <v/>
      </c>
      <c r="O754" s="17"/>
    </row>
    <row r="755" spans="1:15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8"/>
      <c r="L755" s="16"/>
      <c r="M755" s="16"/>
      <c r="N755" s="19" t="str">
        <f>IF(A755="","",IF(K755="",IFERROR(INDEX(Products!$S$3:$S$302,MATCH(A755,Products!$A$3:$A$302,0)),"Product not found"),K755-IF(L755="Percentage",ROUND(K755*N(M755)/100,2),IF(L755="Fixed amount",N(M755),0))))</f>
        <v/>
      </c>
      <c r="O755" s="17"/>
    </row>
    <row r="756" spans="1:15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8"/>
      <c r="L756" s="16"/>
      <c r="M756" s="16"/>
      <c r="N756" s="19" t="str">
        <f>IF(A756="","",IF(K756="",IFERROR(INDEX(Products!$S$3:$S$302,MATCH(A756,Products!$A$3:$A$302,0)),"Product not found"),K756-IF(L756="Percentage",ROUND(K756*N(M756)/100,2),IF(L756="Fixed amount",N(M756),0))))</f>
        <v/>
      </c>
      <c r="O756" s="17"/>
    </row>
    <row r="757" spans="1:15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8"/>
      <c r="L757" s="16"/>
      <c r="M757" s="16"/>
      <c r="N757" s="19" t="str">
        <f>IF(A757="","",IF(K757="",IFERROR(INDEX(Products!$S$3:$S$302,MATCH(A757,Products!$A$3:$A$302,0)),"Product not found"),K757-IF(L757="Percentage",ROUND(K757*N(M757)/100,2),IF(L757="Fixed amount",N(M757),0))))</f>
        <v/>
      </c>
      <c r="O757" s="17"/>
    </row>
    <row r="758" spans="1:15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8"/>
      <c r="L758" s="16"/>
      <c r="M758" s="16"/>
      <c r="N758" s="19" t="str">
        <f>IF(A758="","",IF(K758="",IFERROR(INDEX(Products!$S$3:$S$302,MATCH(A758,Products!$A$3:$A$302,0)),"Product not found"),K758-IF(L758="Percentage",ROUND(K758*N(M758)/100,2),IF(L758="Fixed amount",N(M758),0))))</f>
        <v/>
      </c>
      <c r="O758" s="17"/>
    </row>
    <row r="759" spans="1:15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8"/>
      <c r="L759" s="16"/>
      <c r="M759" s="16"/>
      <c r="N759" s="19" t="str">
        <f>IF(A759="","",IF(K759="",IFERROR(INDEX(Products!$S$3:$S$302,MATCH(A759,Products!$A$3:$A$302,0)),"Product not found"),K759-IF(L759="Percentage",ROUND(K759*N(M759)/100,2),IF(L759="Fixed amount",N(M759),0))))</f>
        <v/>
      </c>
      <c r="O759" s="17"/>
    </row>
    <row r="760" spans="1:15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8"/>
      <c r="L760" s="16"/>
      <c r="M760" s="16"/>
      <c r="N760" s="19" t="str">
        <f>IF(A760="","",IF(K760="",IFERROR(INDEX(Products!$S$3:$S$302,MATCH(A760,Products!$A$3:$A$302,0)),"Product not found"),K760-IF(L760="Percentage",ROUND(K760*N(M760)/100,2),IF(L760="Fixed amount",N(M760),0))))</f>
        <v/>
      </c>
      <c r="O760" s="17"/>
    </row>
    <row r="761" spans="1:15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8"/>
      <c r="L761" s="16"/>
      <c r="M761" s="16"/>
      <c r="N761" s="19" t="str">
        <f>IF(A761="","",IF(K761="",IFERROR(INDEX(Products!$S$3:$S$302,MATCH(A761,Products!$A$3:$A$302,0)),"Product not found"),K761-IF(L761="Percentage",ROUND(K761*N(M761)/100,2),IF(L761="Fixed amount",N(M761),0))))</f>
        <v/>
      </c>
      <c r="O761" s="17"/>
    </row>
    <row r="762" spans="1:15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8"/>
      <c r="L762" s="16"/>
      <c r="M762" s="16"/>
      <c r="N762" s="19" t="str">
        <f>IF(A762="","",IF(K762="",IFERROR(INDEX(Products!$S$3:$S$302,MATCH(A762,Products!$A$3:$A$302,0)),"Product not found"),K762-IF(L762="Percentage",ROUND(K762*N(M762)/100,2),IF(L762="Fixed amount",N(M762),0))))</f>
        <v/>
      </c>
      <c r="O762" s="17"/>
    </row>
    <row r="763" spans="1:15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8"/>
      <c r="L763" s="16"/>
      <c r="M763" s="16"/>
      <c r="N763" s="19" t="str">
        <f>IF(A763="","",IF(K763="",IFERROR(INDEX(Products!$S$3:$S$302,MATCH(A763,Products!$A$3:$A$302,0)),"Product not found"),K763-IF(L763="Percentage",ROUND(K763*N(M763)/100,2),IF(L763="Fixed amount",N(M763),0))))</f>
        <v/>
      </c>
      <c r="O763" s="17"/>
    </row>
    <row r="764" spans="1:15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8"/>
      <c r="L764" s="16"/>
      <c r="M764" s="16"/>
      <c r="N764" s="19" t="str">
        <f>IF(A764="","",IF(K764="",IFERROR(INDEX(Products!$S$3:$S$302,MATCH(A764,Products!$A$3:$A$302,0)),"Product not found"),K764-IF(L764="Percentage",ROUND(K764*N(M764)/100,2),IF(L764="Fixed amount",N(M764),0))))</f>
        <v/>
      </c>
      <c r="O764" s="17"/>
    </row>
    <row r="765" spans="1:15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8"/>
      <c r="L765" s="16"/>
      <c r="M765" s="16"/>
      <c r="N765" s="19" t="str">
        <f>IF(A765="","",IF(K765="",IFERROR(INDEX(Products!$S$3:$S$302,MATCH(A765,Products!$A$3:$A$302,0)),"Product not found"),K765-IF(L765="Percentage",ROUND(K765*N(M765)/100,2),IF(L765="Fixed amount",N(M765),0))))</f>
        <v/>
      </c>
      <c r="O765" s="17"/>
    </row>
    <row r="766" spans="1:15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8"/>
      <c r="L766" s="16"/>
      <c r="M766" s="16"/>
      <c r="N766" s="19" t="str">
        <f>IF(A766="","",IF(K766="",IFERROR(INDEX(Products!$S$3:$S$302,MATCH(A766,Products!$A$3:$A$302,0)),"Product not found"),K766-IF(L766="Percentage",ROUND(K766*N(M766)/100,2),IF(L766="Fixed amount",N(M766),0))))</f>
        <v/>
      </c>
      <c r="O766" s="17"/>
    </row>
    <row r="767" spans="1:15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8"/>
      <c r="L767" s="16"/>
      <c r="M767" s="16"/>
      <c r="N767" s="19" t="str">
        <f>IF(A767="","",IF(K767="",IFERROR(INDEX(Products!$S$3:$S$302,MATCH(A767,Products!$A$3:$A$302,0)),"Product not found"),K767-IF(L767="Percentage",ROUND(K767*N(M767)/100,2),IF(L767="Fixed amount",N(M767),0))))</f>
        <v/>
      </c>
      <c r="O767" s="17"/>
    </row>
    <row r="768" spans="1:15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8"/>
      <c r="L768" s="16"/>
      <c r="M768" s="16"/>
      <c r="N768" s="19" t="str">
        <f>IF(A768="","",IF(K768="",IFERROR(INDEX(Products!$S$3:$S$302,MATCH(A768,Products!$A$3:$A$302,0)),"Product not found"),K768-IF(L768="Percentage",ROUND(K768*N(M768)/100,2),IF(L768="Fixed amount",N(M768),0))))</f>
        <v/>
      </c>
      <c r="O768" s="17"/>
    </row>
    <row r="769" spans="1:15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8"/>
      <c r="L769" s="16"/>
      <c r="M769" s="16"/>
      <c r="N769" s="19" t="str">
        <f>IF(A769="","",IF(K769="",IFERROR(INDEX(Products!$S$3:$S$302,MATCH(A769,Products!$A$3:$A$302,0)),"Product not found"),K769-IF(L769="Percentage",ROUND(K769*N(M769)/100,2),IF(L769="Fixed amount",N(M769),0))))</f>
        <v/>
      </c>
      <c r="O769" s="17"/>
    </row>
    <row r="770" spans="1:15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8"/>
      <c r="L770" s="16"/>
      <c r="M770" s="16"/>
      <c r="N770" s="19" t="str">
        <f>IF(A770="","",IF(K770="",IFERROR(INDEX(Products!$S$3:$S$302,MATCH(A770,Products!$A$3:$A$302,0)),"Product not found"),K770-IF(L770="Percentage",ROUND(K770*N(M770)/100,2),IF(L770="Fixed amount",N(M770),0))))</f>
        <v/>
      </c>
      <c r="O770" s="17"/>
    </row>
    <row r="771" spans="1:15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8"/>
      <c r="L771" s="16"/>
      <c r="M771" s="16"/>
      <c r="N771" s="19" t="str">
        <f>IF(A771="","",IF(K771="",IFERROR(INDEX(Products!$S$3:$S$302,MATCH(A771,Products!$A$3:$A$302,0)),"Product not found"),K771-IF(L771="Percentage",ROUND(K771*N(M771)/100,2),IF(L771="Fixed amount",N(M771),0))))</f>
        <v/>
      </c>
      <c r="O771" s="17"/>
    </row>
    <row r="772" spans="1:15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8"/>
      <c r="L772" s="16"/>
      <c r="M772" s="16"/>
      <c r="N772" s="19" t="str">
        <f>IF(A772="","",IF(K772="",IFERROR(INDEX(Products!$S$3:$S$302,MATCH(A772,Products!$A$3:$A$302,0)),"Product not found"),K772-IF(L772="Percentage",ROUND(K772*N(M772)/100,2),IF(L772="Fixed amount",N(M772),0))))</f>
        <v/>
      </c>
      <c r="O772" s="17"/>
    </row>
    <row r="773" spans="1:15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8"/>
      <c r="L773" s="16"/>
      <c r="M773" s="16"/>
      <c r="N773" s="19" t="str">
        <f>IF(A773="","",IF(K773="",IFERROR(INDEX(Products!$S$3:$S$302,MATCH(A773,Products!$A$3:$A$302,0)),"Product not found"),K773-IF(L773="Percentage",ROUND(K773*N(M773)/100,2),IF(L773="Fixed amount",N(M773),0))))</f>
        <v/>
      </c>
      <c r="O773" s="17"/>
    </row>
    <row r="774" spans="1:15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8"/>
      <c r="L774" s="16"/>
      <c r="M774" s="16"/>
      <c r="N774" s="19" t="str">
        <f>IF(A774="","",IF(K774="",IFERROR(INDEX(Products!$S$3:$S$302,MATCH(A774,Products!$A$3:$A$302,0)),"Product not found"),K774-IF(L774="Percentage",ROUND(K774*N(M774)/100,2),IF(L774="Fixed amount",N(M774),0))))</f>
        <v/>
      </c>
      <c r="O774" s="17"/>
    </row>
    <row r="775" spans="1:15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8"/>
      <c r="L775" s="16"/>
      <c r="M775" s="16"/>
      <c r="N775" s="19" t="str">
        <f>IF(A775="","",IF(K775="",IFERROR(INDEX(Products!$S$3:$S$302,MATCH(A775,Products!$A$3:$A$302,0)),"Product not found"),K775-IF(L775="Percentage",ROUND(K775*N(M775)/100,2),IF(L775="Fixed amount",N(M775),0))))</f>
        <v/>
      </c>
      <c r="O775" s="17"/>
    </row>
    <row r="776" spans="1:15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8"/>
      <c r="L776" s="16"/>
      <c r="M776" s="16"/>
      <c r="N776" s="19" t="str">
        <f>IF(A776="","",IF(K776="",IFERROR(INDEX(Products!$S$3:$S$302,MATCH(A776,Products!$A$3:$A$302,0)),"Product not found"),K776-IF(L776="Percentage",ROUND(K776*N(M776)/100,2),IF(L776="Fixed amount",N(M776),0))))</f>
        <v/>
      </c>
      <c r="O776" s="17"/>
    </row>
    <row r="777" spans="1:15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8"/>
      <c r="L777" s="16"/>
      <c r="M777" s="16"/>
      <c r="N777" s="19" t="str">
        <f>IF(A777="","",IF(K777="",IFERROR(INDEX(Products!$S$3:$S$302,MATCH(A777,Products!$A$3:$A$302,0)),"Product not found"),K777-IF(L777="Percentage",ROUND(K777*N(M777)/100,2),IF(L777="Fixed amount",N(M777),0))))</f>
        <v/>
      </c>
      <c r="O777" s="17"/>
    </row>
    <row r="778" spans="1:15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8"/>
      <c r="L778" s="16"/>
      <c r="M778" s="16"/>
      <c r="N778" s="19" t="str">
        <f>IF(A778="","",IF(K778="",IFERROR(INDEX(Products!$S$3:$S$302,MATCH(A778,Products!$A$3:$A$302,0)),"Product not found"),K778-IF(L778="Percentage",ROUND(K778*N(M778)/100,2),IF(L778="Fixed amount",N(M778),0))))</f>
        <v/>
      </c>
      <c r="O778" s="17"/>
    </row>
    <row r="779" spans="1:15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8"/>
      <c r="L779" s="16"/>
      <c r="M779" s="16"/>
      <c r="N779" s="19" t="str">
        <f>IF(A779="","",IF(K779="",IFERROR(INDEX(Products!$S$3:$S$302,MATCH(A779,Products!$A$3:$A$302,0)),"Product not found"),K779-IF(L779="Percentage",ROUND(K779*N(M779)/100,2),IF(L779="Fixed amount",N(M779),0))))</f>
        <v/>
      </c>
      <c r="O779" s="17"/>
    </row>
    <row r="780" spans="1:15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8"/>
      <c r="L780" s="16"/>
      <c r="M780" s="16"/>
      <c r="N780" s="19" t="str">
        <f>IF(A780="","",IF(K780="",IFERROR(INDEX(Products!$S$3:$S$302,MATCH(A780,Products!$A$3:$A$302,0)),"Product not found"),K780-IF(L780="Percentage",ROUND(K780*N(M780)/100,2),IF(L780="Fixed amount",N(M780),0))))</f>
        <v/>
      </c>
      <c r="O780" s="17"/>
    </row>
    <row r="781" spans="1:15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8"/>
      <c r="L781" s="16"/>
      <c r="M781" s="16"/>
      <c r="N781" s="19" t="str">
        <f>IF(A781="","",IF(K781="",IFERROR(INDEX(Products!$S$3:$S$302,MATCH(A781,Products!$A$3:$A$302,0)),"Product not found"),K781-IF(L781="Percentage",ROUND(K781*N(M781)/100,2),IF(L781="Fixed amount",N(M781),0))))</f>
        <v/>
      </c>
      <c r="O781" s="17"/>
    </row>
    <row r="782" spans="1:15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8"/>
      <c r="L782" s="16"/>
      <c r="M782" s="16"/>
      <c r="N782" s="19" t="str">
        <f>IF(A782="","",IF(K782="",IFERROR(INDEX(Products!$S$3:$S$302,MATCH(A782,Products!$A$3:$A$302,0)),"Product not found"),K782-IF(L782="Percentage",ROUND(K782*N(M782)/100,2),IF(L782="Fixed amount",N(M782),0))))</f>
        <v/>
      </c>
      <c r="O782" s="17"/>
    </row>
    <row r="783" spans="1:15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8"/>
      <c r="L783" s="16"/>
      <c r="M783" s="16"/>
      <c r="N783" s="19" t="str">
        <f>IF(A783="","",IF(K783="",IFERROR(INDEX(Products!$S$3:$S$302,MATCH(A783,Products!$A$3:$A$302,0)),"Product not found"),K783-IF(L783="Percentage",ROUND(K783*N(M783)/100,2),IF(L783="Fixed amount",N(M783),0))))</f>
        <v/>
      </c>
      <c r="O783" s="17"/>
    </row>
    <row r="784" spans="1:15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8"/>
      <c r="L784" s="16"/>
      <c r="M784" s="16"/>
      <c r="N784" s="19" t="str">
        <f>IF(A784="","",IF(K784="",IFERROR(INDEX(Products!$S$3:$S$302,MATCH(A784,Products!$A$3:$A$302,0)),"Product not found"),K784-IF(L784="Percentage",ROUND(K784*N(M784)/100,2),IF(L784="Fixed amount",N(M784),0))))</f>
        <v/>
      </c>
      <c r="O784" s="17"/>
    </row>
    <row r="785" spans="1:15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8"/>
      <c r="L785" s="16"/>
      <c r="M785" s="16"/>
      <c r="N785" s="19" t="str">
        <f>IF(A785="","",IF(K785="",IFERROR(INDEX(Products!$S$3:$S$302,MATCH(A785,Products!$A$3:$A$302,0)),"Product not found"),K785-IF(L785="Percentage",ROUND(K785*N(M785)/100,2),IF(L785="Fixed amount",N(M785),0))))</f>
        <v/>
      </c>
      <c r="O785" s="17"/>
    </row>
    <row r="786" spans="1:15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8"/>
      <c r="L786" s="16"/>
      <c r="M786" s="16"/>
      <c r="N786" s="19" t="str">
        <f>IF(A786="","",IF(K786="",IFERROR(INDEX(Products!$S$3:$S$302,MATCH(A786,Products!$A$3:$A$302,0)),"Product not found"),K786-IF(L786="Percentage",ROUND(K786*N(M786)/100,2),IF(L786="Fixed amount",N(M786),0))))</f>
        <v/>
      </c>
      <c r="O786" s="17"/>
    </row>
    <row r="787" spans="1:15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8"/>
      <c r="L787" s="16"/>
      <c r="M787" s="16"/>
      <c r="N787" s="19" t="str">
        <f>IF(A787="","",IF(K787="",IFERROR(INDEX(Products!$S$3:$S$302,MATCH(A787,Products!$A$3:$A$302,0)),"Product not found"),K787-IF(L787="Percentage",ROUND(K787*N(M787)/100,2),IF(L787="Fixed amount",N(M787),0))))</f>
        <v/>
      </c>
      <c r="O787" s="17"/>
    </row>
    <row r="788" spans="1:15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8"/>
      <c r="L788" s="16"/>
      <c r="M788" s="16"/>
      <c r="N788" s="19" t="str">
        <f>IF(A788="","",IF(K788="",IFERROR(INDEX(Products!$S$3:$S$302,MATCH(A788,Products!$A$3:$A$302,0)),"Product not found"),K788-IF(L788="Percentage",ROUND(K788*N(M788)/100,2),IF(L788="Fixed amount",N(M788),0))))</f>
        <v/>
      </c>
      <c r="O788" s="17"/>
    </row>
    <row r="789" spans="1:15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8"/>
      <c r="L789" s="16"/>
      <c r="M789" s="16"/>
      <c r="N789" s="19" t="str">
        <f>IF(A789="","",IF(K789="",IFERROR(INDEX(Products!$S$3:$S$302,MATCH(A789,Products!$A$3:$A$302,0)),"Product not found"),K789-IF(L789="Percentage",ROUND(K789*N(M789)/100,2),IF(L789="Fixed amount",N(M789),0))))</f>
        <v/>
      </c>
      <c r="O789" s="17"/>
    </row>
    <row r="790" spans="1:15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8"/>
      <c r="L790" s="16"/>
      <c r="M790" s="16"/>
      <c r="N790" s="19" t="str">
        <f>IF(A790="","",IF(K790="",IFERROR(INDEX(Products!$S$3:$S$302,MATCH(A790,Products!$A$3:$A$302,0)),"Product not found"),K790-IF(L790="Percentage",ROUND(K790*N(M790)/100,2),IF(L790="Fixed amount",N(M790),0))))</f>
        <v/>
      </c>
      <c r="O790" s="17"/>
    </row>
    <row r="791" spans="1:15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8"/>
      <c r="L791" s="16"/>
      <c r="M791" s="16"/>
      <c r="N791" s="19" t="str">
        <f>IF(A791="","",IF(K791="",IFERROR(INDEX(Products!$S$3:$S$302,MATCH(A791,Products!$A$3:$A$302,0)),"Product not found"),K791-IF(L791="Percentage",ROUND(K791*N(M791)/100,2),IF(L791="Fixed amount",N(M791),0))))</f>
        <v/>
      </c>
      <c r="O791" s="17"/>
    </row>
    <row r="792" spans="1:15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8"/>
      <c r="L792" s="16"/>
      <c r="M792" s="16"/>
      <c r="N792" s="19" t="str">
        <f>IF(A792="","",IF(K792="",IFERROR(INDEX(Products!$S$3:$S$302,MATCH(A792,Products!$A$3:$A$302,0)),"Product not found"),K792-IF(L792="Percentage",ROUND(K792*N(M792)/100,2),IF(L792="Fixed amount",N(M792),0))))</f>
        <v/>
      </c>
      <c r="O792" s="17"/>
    </row>
    <row r="793" spans="1:15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8"/>
      <c r="L793" s="16"/>
      <c r="M793" s="16"/>
      <c r="N793" s="19" t="str">
        <f>IF(A793="","",IF(K793="",IFERROR(INDEX(Products!$S$3:$S$302,MATCH(A793,Products!$A$3:$A$302,0)),"Product not found"),K793-IF(L793="Percentage",ROUND(K793*N(M793)/100,2),IF(L793="Fixed amount",N(M793),0))))</f>
        <v/>
      </c>
      <c r="O793" s="17"/>
    </row>
    <row r="794" spans="1:15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8"/>
      <c r="L794" s="16"/>
      <c r="M794" s="16"/>
      <c r="N794" s="19" t="str">
        <f>IF(A794="","",IF(K794="",IFERROR(INDEX(Products!$S$3:$S$302,MATCH(A794,Products!$A$3:$A$302,0)),"Product not found"),K794-IF(L794="Percentage",ROUND(K794*N(M794)/100,2),IF(L794="Fixed amount",N(M794),0))))</f>
        <v/>
      </c>
      <c r="O794" s="17"/>
    </row>
    <row r="795" spans="1:15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8"/>
      <c r="L795" s="16"/>
      <c r="M795" s="16"/>
      <c r="N795" s="19" t="str">
        <f>IF(A795="","",IF(K795="",IFERROR(INDEX(Products!$S$3:$S$302,MATCH(A795,Products!$A$3:$A$302,0)),"Product not found"),K795-IF(L795="Percentage",ROUND(K795*N(M795)/100,2),IF(L795="Fixed amount",N(M795),0))))</f>
        <v/>
      </c>
      <c r="O795" s="17"/>
    </row>
    <row r="796" spans="1:15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8"/>
      <c r="L796" s="16"/>
      <c r="M796" s="16"/>
      <c r="N796" s="19" t="str">
        <f>IF(A796="","",IF(K796="",IFERROR(INDEX(Products!$S$3:$S$302,MATCH(A796,Products!$A$3:$A$302,0)),"Product not found"),K796-IF(L796="Percentage",ROUND(K796*N(M796)/100,2),IF(L796="Fixed amount",N(M796),0))))</f>
        <v/>
      </c>
      <c r="O796" s="17"/>
    </row>
    <row r="797" spans="1:15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8"/>
      <c r="L797" s="16"/>
      <c r="M797" s="16"/>
      <c r="N797" s="19" t="str">
        <f>IF(A797="","",IF(K797="",IFERROR(INDEX(Products!$S$3:$S$302,MATCH(A797,Products!$A$3:$A$302,0)),"Product not found"),K797-IF(L797="Percentage",ROUND(K797*N(M797)/100,2),IF(L797="Fixed amount",N(M797),0))))</f>
        <v/>
      </c>
      <c r="O797" s="17"/>
    </row>
    <row r="798" spans="1:15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8"/>
      <c r="L798" s="16"/>
      <c r="M798" s="16"/>
      <c r="N798" s="19" t="str">
        <f>IF(A798="","",IF(K798="",IFERROR(INDEX(Products!$S$3:$S$302,MATCH(A798,Products!$A$3:$A$302,0)),"Product not found"),K798-IF(L798="Percentage",ROUND(K798*N(M798)/100,2),IF(L798="Fixed amount",N(M798),0))))</f>
        <v/>
      </c>
      <c r="O798" s="17"/>
    </row>
    <row r="799" spans="1:15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8"/>
      <c r="L799" s="16"/>
      <c r="M799" s="16"/>
      <c r="N799" s="19" t="str">
        <f>IF(A799="","",IF(K799="",IFERROR(INDEX(Products!$S$3:$S$302,MATCH(A799,Products!$A$3:$A$302,0)),"Product not found"),K799-IF(L799="Percentage",ROUND(K799*N(M799)/100,2),IF(L799="Fixed amount",N(M799),0))))</f>
        <v/>
      </c>
      <c r="O799" s="17"/>
    </row>
    <row r="800" spans="1:15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8"/>
      <c r="L800" s="16"/>
      <c r="M800" s="16"/>
      <c r="N800" s="19" t="str">
        <f>IF(A800="","",IF(K800="",IFERROR(INDEX(Products!$S$3:$S$302,MATCH(A800,Products!$A$3:$A$302,0)),"Product not found"),K800-IF(L800="Percentage",ROUND(K800*N(M800)/100,2),IF(L800="Fixed amount",N(M800),0))))</f>
        <v/>
      </c>
      <c r="O800" s="17"/>
    </row>
    <row r="801" spans="1:15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8"/>
      <c r="L801" s="16"/>
      <c r="M801" s="16"/>
      <c r="N801" s="19" t="str">
        <f>IF(A801="","",IF(K801="",IFERROR(INDEX(Products!$S$3:$S$302,MATCH(A801,Products!$A$3:$A$302,0)),"Product not found"),K801-IF(L801="Percentage",ROUND(K801*N(M801)/100,2),IF(L801="Fixed amount",N(M801),0))))</f>
        <v/>
      </c>
      <c r="O801" s="17"/>
    </row>
    <row r="802" spans="1:15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8"/>
      <c r="L802" s="16"/>
      <c r="M802" s="16"/>
      <c r="N802" s="19" t="str">
        <f>IF(A802="","",IF(K802="",IFERROR(INDEX(Products!$S$3:$S$302,MATCH(A802,Products!$A$3:$A$302,0)),"Product not found"),K802-IF(L802="Percentage",ROUND(K802*N(M802)/100,2),IF(L802="Fixed amount",N(M802),0))))</f>
        <v/>
      </c>
      <c r="O802" s="17"/>
    </row>
    <row r="803" spans="1:15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8"/>
      <c r="L803" s="16"/>
      <c r="M803" s="16"/>
      <c r="N803" s="19" t="str">
        <f>IF(A803="","",IF(K803="",IFERROR(INDEX(Products!$S$3:$S$302,MATCH(A803,Products!$A$3:$A$302,0)),"Product not found"),K803-IF(L803="Percentage",ROUND(K803*N(M803)/100,2),IF(L803="Fixed amount",N(M803),0))))</f>
        <v/>
      </c>
      <c r="O803" s="17"/>
    </row>
    <row r="804" spans="1:15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8"/>
      <c r="L804" s="16"/>
      <c r="M804" s="16"/>
      <c r="N804" s="19" t="str">
        <f>IF(A804="","",IF(K804="",IFERROR(INDEX(Products!$S$3:$S$302,MATCH(A804,Products!$A$3:$A$302,0)),"Product not found"),K804-IF(L804="Percentage",ROUND(K804*N(M804)/100,2),IF(L804="Fixed amount",N(M804),0))))</f>
        <v/>
      </c>
      <c r="O804" s="17"/>
    </row>
    <row r="805" spans="1:15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8"/>
      <c r="L805" s="16"/>
      <c r="M805" s="16"/>
      <c r="N805" s="19" t="str">
        <f>IF(A805="","",IF(K805="",IFERROR(INDEX(Products!$S$3:$S$302,MATCH(A805,Products!$A$3:$A$302,0)),"Product not found"),K805-IF(L805="Percentage",ROUND(K805*N(M805)/100,2),IF(L805="Fixed amount",N(M805),0))))</f>
        <v/>
      </c>
      <c r="O805" s="17"/>
    </row>
    <row r="806" spans="1:15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8"/>
      <c r="L806" s="16"/>
      <c r="M806" s="16"/>
      <c r="N806" s="19" t="str">
        <f>IF(A806="","",IF(K806="",IFERROR(INDEX(Products!$S$3:$S$302,MATCH(A806,Products!$A$3:$A$302,0)),"Product not found"),K806-IF(L806="Percentage",ROUND(K806*N(M806)/100,2),IF(L806="Fixed amount",N(M806),0))))</f>
        <v/>
      </c>
      <c r="O806" s="17"/>
    </row>
    <row r="807" spans="1:15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8"/>
      <c r="L807" s="16"/>
      <c r="M807" s="16"/>
      <c r="N807" s="19" t="str">
        <f>IF(A807="","",IF(K807="",IFERROR(INDEX(Products!$S$3:$S$302,MATCH(A807,Products!$A$3:$A$302,0)),"Product not found"),K807-IF(L807="Percentage",ROUND(K807*N(M807)/100,2),IF(L807="Fixed amount",N(M807),0))))</f>
        <v/>
      </c>
      <c r="O807" s="17"/>
    </row>
    <row r="808" spans="1:15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8"/>
      <c r="L808" s="16"/>
      <c r="M808" s="16"/>
      <c r="N808" s="19" t="str">
        <f>IF(A808="","",IF(K808="",IFERROR(INDEX(Products!$S$3:$S$302,MATCH(A808,Products!$A$3:$A$302,0)),"Product not found"),K808-IF(L808="Percentage",ROUND(K808*N(M808)/100,2),IF(L808="Fixed amount",N(M808),0))))</f>
        <v/>
      </c>
      <c r="O808" s="17"/>
    </row>
    <row r="809" spans="1:15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8"/>
      <c r="L809" s="16"/>
      <c r="M809" s="16"/>
      <c r="N809" s="19" t="str">
        <f>IF(A809="","",IF(K809="",IFERROR(INDEX(Products!$S$3:$S$302,MATCH(A809,Products!$A$3:$A$302,0)),"Product not found"),K809-IF(L809="Percentage",ROUND(K809*N(M809)/100,2),IF(L809="Fixed amount",N(M809),0))))</f>
        <v/>
      </c>
      <c r="O809" s="17"/>
    </row>
    <row r="810" spans="1:15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8"/>
      <c r="L810" s="16"/>
      <c r="M810" s="16"/>
      <c r="N810" s="19" t="str">
        <f>IF(A810="","",IF(K810="",IFERROR(INDEX(Products!$S$3:$S$302,MATCH(A810,Products!$A$3:$A$302,0)),"Product not found"),K810-IF(L810="Percentage",ROUND(K810*N(M810)/100,2),IF(L810="Fixed amount",N(M810),0))))</f>
        <v/>
      </c>
      <c r="O810" s="17"/>
    </row>
    <row r="811" spans="1:15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8"/>
      <c r="L811" s="16"/>
      <c r="M811" s="16"/>
      <c r="N811" s="19" t="str">
        <f>IF(A811="","",IF(K811="",IFERROR(INDEX(Products!$S$3:$S$302,MATCH(A811,Products!$A$3:$A$302,0)),"Product not found"),K811-IF(L811="Percentage",ROUND(K811*N(M811)/100,2),IF(L811="Fixed amount",N(M811),0))))</f>
        <v/>
      </c>
      <c r="O811" s="17"/>
    </row>
    <row r="812" spans="1:15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8"/>
      <c r="L812" s="16"/>
      <c r="M812" s="16"/>
      <c r="N812" s="19" t="str">
        <f>IF(A812="","",IF(K812="",IFERROR(INDEX(Products!$S$3:$S$302,MATCH(A812,Products!$A$3:$A$302,0)),"Product not found"),K812-IF(L812="Percentage",ROUND(K812*N(M812)/100,2),IF(L812="Fixed amount",N(M812),0))))</f>
        <v/>
      </c>
      <c r="O812" s="17"/>
    </row>
    <row r="813" spans="1:15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8"/>
      <c r="L813" s="16"/>
      <c r="M813" s="16"/>
      <c r="N813" s="19" t="str">
        <f>IF(A813="","",IF(K813="",IFERROR(INDEX(Products!$S$3:$S$302,MATCH(A813,Products!$A$3:$A$302,0)),"Product not found"),K813-IF(L813="Percentage",ROUND(K813*N(M813)/100,2),IF(L813="Fixed amount",N(M813),0))))</f>
        <v/>
      </c>
      <c r="O813" s="17"/>
    </row>
    <row r="814" spans="1:15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8"/>
      <c r="L814" s="16"/>
      <c r="M814" s="16"/>
      <c r="N814" s="19" t="str">
        <f>IF(A814="","",IF(K814="",IFERROR(INDEX(Products!$S$3:$S$302,MATCH(A814,Products!$A$3:$A$302,0)),"Product not found"),K814-IF(L814="Percentage",ROUND(K814*N(M814)/100,2),IF(L814="Fixed amount",N(M814),0))))</f>
        <v/>
      </c>
      <c r="O814" s="17"/>
    </row>
    <row r="815" spans="1:15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8"/>
      <c r="L815" s="16"/>
      <c r="M815" s="16"/>
      <c r="N815" s="19" t="str">
        <f>IF(A815="","",IF(K815="",IFERROR(INDEX(Products!$S$3:$S$302,MATCH(A815,Products!$A$3:$A$302,0)),"Product not found"),K815-IF(L815="Percentage",ROUND(K815*N(M815)/100,2),IF(L815="Fixed amount",N(M815),0))))</f>
        <v/>
      </c>
      <c r="O815" s="17"/>
    </row>
    <row r="816" spans="1:15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8"/>
      <c r="L816" s="16"/>
      <c r="M816" s="16"/>
      <c r="N816" s="19" t="str">
        <f>IF(A816="","",IF(K816="",IFERROR(INDEX(Products!$S$3:$S$302,MATCH(A816,Products!$A$3:$A$302,0)),"Product not found"),K816-IF(L816="Percentage",ROUND(K816*N(M816)/100,2),IF(L816="Fixed amount",N(M816),0))))</f>
        <v/>
      </c>
      <c r="O816" s="17"/>
    </row>
    <row r="817" spans="1:15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8"/>
      <c r="L817" s="16"/>
      <c r="M817" s="16"/>
      <c r="N817" s="19" t="str">
        <f>IF(A817="","",IF(K817="",IFERROR(INDEX(Products!$S$3:$S$302,MATCH(A817,Products!$A$3:$A$302,0)),"Product not found"),K817-IF(L817="Percentage",ROUND(K817*N(M817)/100,2),IF(L817="Fixed amount",N(M817),0))))</f>
        <v/>
      </c>
      <c r="O817" s="17"/>
    </row>
    <row r="818" spans="1:15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8"/>
      <c r="L818" s="16"/>
      <c r="M818" s="16"/>
      <c r="N818" s="19" t="str">
        <f>IF(A818="","",IF(K818="",IFERROR(INDEX(Products!$S$3:$S$302,MATCH(A818,Products!$A$3:$A$302,0)),"Product not found"),K818-IF(L818="Percentage",ROUND(K818*N(M818)/100,2),IF(L818="Fixed amount",N(M818),0))))</f>
        <v/>
      </c>
      <c r="O818" s="17"/>
    </row>
    <row r="819" spans="1:15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8"/>
      <c r="L819" s="16"/>
      <c r="M819" s="16"/>
      <c r="N819" s="19" t="str">
        <f>IF(A819="","",IF(K819="",IFERROR(INDEX(Products!$S$3:$S$302,MATCH(A819,Products!$A$3:$A$302,0)),"Product not found"),K819-IF(L819="Percentage",ROUND(K819*N(M819)/100,2),IF(L819="Fixed amount",N(M819),0))))</f>
        <v/>
      </c>
      <c r="O819" s="17"/>
    </row>
    <row r="820" spans="1:15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8"/>
      <c r="L820" s="16"/>
      <c r="M820" s="16"/>
      <c r="N820" s="19" t="str">
        <f>IF(A820="","",IF(K820="",IFERROR(INDEX(Products!$S$3:$S$302,MATCH(A820,Products!$A$3:$A$302,0)),"Product not found"),K820-IF(L820="Percentage",ROUND(K820*N(M820)/100,2),IF(L820="Fixed amount",N(M820),0))))</f>
        <v/>
      </c>
      <c r="O820" s="17"/>
    </row>
    <row r="821" spans="1:15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8"/>
      <c r="L821" s="16"/>
      <c r="M821" s="16"/>
      <c r="N821" s="19" t="str">
        <f>IF(A821="","",IF(K821="",IFERROR(INDEX(Products!$S$3:$S$302,MATCH(A821,Products!$A$3:$A$302,0)),"Product not found"),K821-IF(L821="Percentage",ROUND(K821*N(M821)/100,2),IF(L821="Fixed amount",N(M821),0))))</f>
        <v/>
      </c>
      <c r="O821" s="17"/>
    </row>
    <row r="822" spans="1:15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8"/>
      <c r="L822" s="16"/>
      <c r="M822" s="16"/>
      <c r="N822" s="19" t="str">
        <f>IF(A822="","",IF(K822="",IFERROR(INDEX(Products!$S$3:$S$302,MATCH(A822,Products!$A$3:$A$302,0)),"Product not found"),K822-IF(L822="Percentage",ROUND(K822*N(M822)/100,2),IF(L822="Fixed amount",N(M822),0))))</f>
        <v/>
      </c>
      <c r="O822" s="17"/>
    </row>
    <row r="823" spans="1:15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8"/>
      <c r="L823" s="16"/>
      <c r="M823" s="16"/>
      <c r="N823" s="19" t="str">
        <f>IF(A823="","",IF(K823="",IFERROR(INDEX(Products!$S$3:$S$302,MATCH(A823,Products!$A$3:$A$302,0)),"Product not found"),K823-IF(L823="Percentage",ROUND(K823*N(M823)/100,2),IF(L823="Fixed amount",N(M823),0))))</f>
        <v/>
      </c>
      <c r="O823" s="17"/>
    </row>
    <row r="824" spans="1:15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8"/>
      <c r="L824" s="16"/>
      <c r="M824" s="16"/>
      <c r="N824" s="19" t="str">
        <f>IF(A824="","",IF(K824="",IFERROR(INDEX(Products!$S$3:$S$302,MATCH(A824,Products!$A$3:$A$302,0)),"Product not found"),K824-IF(L824="Percentage",ROUND(K824*N(M824)/100,2),IF(L824="Fixed amount",N(M824),0))))</f>
        <v/>
      </c>
      <c r="O824" s="17"/>
    </row>
    <row r="825" spans="1:15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8"/>
      <c r="L825" s="16"/>
      <c r="M825" s="16"/>
      <c r="N825" s="19" t="str">
        <f>IF(A825="","",IF(K825="",IFERROR(INDEX(Products!$S$3:$S$302,MATCH(A825,Products!$A$3:$A$302,0)),"Product not found"),K825-IF(L825="Percentage",ROUND(K825*N(M825)/100,2),IF(L825="Fixed amount",N(M825),0))))</f>
        <v/>
      </c>
      <c r="O825" s="17"/>
    </row>
    <row r="826" spans="1:15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8"/>
      <c r="L826" s="16"/>
      <c r="M826" s="16"/>
      <c r="N826" s="19" t="str">
        <f>IF(A826="","",IF(K826="",IFERROR(INDEX(Products!$S$3:$S$302,MATCH(A826,Products!$A$3:$A$302,0)),"Product not found"),K826-IF(L826="Percentage",ROUND(K826*N(M826)/100,2),IF(L826="Fixed amount",N(M826),0))))</f>
        <v/>
      </c>
      <c r="O826" s="17"/>
    </row>
    <row r="827" spans="1:15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8"/>
      <c r="L827" s="16"/>
      <c r="M827" s="16"/>
      <c r="N827" s="19" t="str">
        <f>IF(A827="","",IF(K827="",IFERROR(INDEX(Products!$S$3:$S$302,MATCH(A827,Products!$A$3:$A$302,0)),"Product not found"),K827-IF(L827="Percentage",ROUND(K827*N(M827)/100,2),IF(L827="Fixed amount",N(M827),0))))</f>
        <v/>
      </c>
      <c r="O827" s="17"/>
    </row>
    <row r="828" spans="1:15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8"/>
      <c r="L828" s="16"/>
      <c r="M828" s="16"/>
      <c r="N828" s="19" t="str">
        <f>IF(A828="","",IF(K828="",IFERROR(INDEX(Products!$S$3:$S$302,MATCH(A828,Products!$A$3:$A$302,0)),"Product not found"),K828-IF(L828="Percentage",ROUND(K828*N(M828)/100,2),IF(L828="Fixed amount",N(M828),0))))</f>
        <v/>
      </c>
      <c r="O828" s="17"/>
    </row>
    <row r="829" spans="1:15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8"/>
      <c r="L829" s="16"/>
      <c r="M829" s="16"/>
      <c r="N829" s="19" t="str">
        <f>IF(A829="","",IF(K829="",IFERROR(INDEX(Products!$S$3:$S$302,MATCH(A829,Products!$A$3:$A$302,0)),"Product not found"),K829-IF(L829="Percentage",ROUND(K829*N(M829)/100,2),IF(L829="Fixed amount",N(M829),0))))</f>
        <v/>
      </c>
      <c r="O829" s="17"/>
    </row>
    <row r="830" spans="1:15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8"/>
      <c r="L830" s="16"/>
      <c r="M830" s="16"/>
      <c r="N830" s="19" t="str">
        <f>IF(A830="","",IF(K830="",IFERROR(INDEX(Products!$S$3:$S$302,MATCH(A830,Products!$A$3:$A$302,0)),"Product not found"),K830-IF(L830="Percentage",ROUND(K830*N(M830)/100,2),IF(L830="Fixed amount",N(M830),0))))</f>
        <v/>
      </c>
      <c r="O830" s="17"/>
    </row>
    <row r="831" spans="1:15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8"/>
      <c r="L831" s="16"/>
      <c r="M831" s="16"/>
      <c r="N831" s="19" t="str">
        <f>IF(A831="","",IF(K831="",IFERROR(INDEX(Products!$S$3:$S$302,MATCH(A831,Products!$A$3:$A$302,0)),"Product not found"),K831-IF(L831="Percentage",ROUND(K831*N(M831)/100,2),IF(L831="Fixed amount",N(M831),0))))</f>
        <v/>
      </c>
      <c r="O831" s="17"/>
    </row>
    <row r="832" spans="1:15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8"/>
      <c r="L832" s="16"/>
      <c r="M832" s="16"/>
      <c r="N832" s="19" t="str">
        <f>IF(A832="","",IF(K832="",IFERROR(INDEX(Products!$S$3:$S$302,MATCH(A832,Products!$A$3:$A$302,0)),"Product not found"),K832-IF(L832="Percentage",ROUND(K832*N(M832)/100,2),IF(L832="Fixed amount",N(M832),0))))</f>
        <v/>
      </c>
      <c r="O832" s="17"/>
    </row>
    <row r="833" spans="1:15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8"/>
      <c r="L833" s="16"/>
      <c r="M833" s="16"/>
      <c r="N833" s="19" t="str">
        <f>IF(A833="","",IF(K833="",IFERROR(INDEX(Products!$S$3:$S$302,MATCH(A833,Products!$A$3:$A$302,0)),"Product not found"),K833-IF(L833="Percentage",ROUND(K833*N(M833)/100,2),IF(L833="Fixed amount",N(M833),0))))</f>
        <v/>
      </c>
      <c r="O833" s="17"/>
    </row>
    <row r="834" spans="1:15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8"/>
      <c r="L834" s="16"/>
      <c r="M834" s="16"/>
      <c r="N834" s="19" t="str">
        <f>IF(A834="","",IF(K834="",IFERROR(INDEX(Products!$S$3:$S$302,MATCH(A834,Products!$A$3:$A$302,0)),"Product not found"),K834-IF(L834="Percentage",ROUND(K834*N(M834)/100,2),IF(L834="Fixed amount",N(M834),0))))</f>
        <v/>
      </c>
      <c r="O834" s="17"/>
    </row>
    <row r="835" spans="1:15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8"/>
      <c r="L835" s="16"/>
      <c r="M835" s="16"/>
      <c r="N835" s="19" t="str">
        <f>IF(A835="","",IF(K835="",IFERROR(INDEX(Products!$S$3:$S$302,MATCH(A835,Products!$A$3:$A$302,0)),"Product not found"),K835-IF(L835="Percentage",ROUND(K835*N(M835)/100,2),IF(L835="Fixed amount",N(M835),0))))</f>
        <v/>
      </c>
      <c r="O835" s="17"/>
    </row>
    <row r="836" spans="1:15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8"/>
      <c r="L836" s="16"/>
      <c r="M836" s="16"/>
      <c r="N836" s="19" t="str">
        <f>IF(A836="","",IF(K836="",IFERROR(INDEX(Products!$S$3:$S$302,MATCH(A836,Products!$A$3:$A$302,0)),"Product not found"),K836-IF(L836="Percentage",ROUND(K836*N(M836)/100,2),IF(L836="Fixed amount",N(M836),0))))</f>
        <v/>
      </c>
      <c r="O836" s="17"/>
    </row>
    <row r="837" spans="1:15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8"/>
      <c r="L837" s="16"/>
      <c r="M837" s="16"/>
      <c r="N837" s="19" t="str">
        <f>IF(A837="","",IF(K837="",IFERROR(INDEX(Products!$S$3:$S$302,MATCH(A837,Products!$A$3:$A$302,0)),"Product not found"),K837-IF(L837="Percentage",ROUND(K837*N(M837)/100,2),IF(L837="Fixed amount",N(M837),0))))</f>
        <v/>
      </c>
      <c r="O837" s="17"/>
    </row>
    <row r="838" spans="1:15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8"/>
      <c r="L838" s="16"/>
      <c r="M838" s="16"/>
      <c r="N838" s="19" t="str">
        <f>IF(A838="","",IF(K838="",IFERROR(INDEX(Products!$S$3:$S$302,MATCH(A838,Products!$A$3:$A$302,0)),"Product not found"),K838-IF(L838="Percentage",ROUND(K838*N(M838)/100,2),IF(L838="Fixed amount",N(M838),0))))</f>
        <v/>
      </c>
      <c r="O838" s="17"/>
    </row>
    <row r="839" spans="1:15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8"/>
      <c r="L839" s="16"/>
      <c r="M839" s="16"/>
      <c r="N839" s="19" t="str">
        <f>IF(A839="","",IF(K839="",IFERROR(INDEX(Products!$S$3:$S$302,MATCH(A839,Products!$A$3:$A$302,0)),"Product not found"),K839-IF(L839="Percentage",ROUND(K839*N(M839)/100,2),IF(L839="Fixed amount",N(M839),0))))</f>
        <v/>
      </c>
      <c r="O839" s="17"/>
    </row>
    <row r="840" spans="1:15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8"/>
      <c r="L840" s="16"/>
      <c r="M840" s="16"/>
      <c r="N840" s="19" t="str">
        <f>IF(A840="","",IF(K840="",IFERROR(INDEX(Products!$S$3:$S$302,MATCH(A840,Products!$A$3:$A$302,0)),"Product not found"),K840-IF(L840="Percentage",ROUND(K840*N(M840)/100,2),IF(L840="Fixed amount",N(M840),0))))</f>
        <v/>
      </c>
      <c r="O840" s="17"/>
    </row>
    <row r="841" spans="1:15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8"/>
      <c r="L841" s="16"/>
      <c r="M841" s="16"/>
      <c r="N841" s="19" t="str">
        <f>IF(A841="","",IF(K841="",IFERROR(INDEX(Products!$S$3:$S$302,MATCH(A841,Products!$A$3:$A$302,0)),"Product not found"),K841-IF(L841="Percentage",ROUND(K841*N(M841)/100,2),IF(L841="Fixed amount",N(M841),0))))</f>
        <v/>
      </c>
      <c r="O841" s="17"/>
    </row>
    <row r="842" spans="1:15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8"/>
      <c r="L842" s="16"/>
      <c r="M842" s="16"/>
      <c r="N842" s="19" t="str">
        <f>IF(A842="","",IF(K842="",IFERROR(INDEX(Products!$S$3:$S$302,MATCH(A842,Products!$A$3:$A$302,0)),"Product not found"),K842-IF(L842="Percentage",ROUND(K842*N(M842)/100,2),IF(L842="Fixed amount",N(M842),0))))</f>
        <v/>
      </c>
      <c r="O842" s="17"/>
    </row>
    <row r="843" spans="1:15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8"/>
      <c r="L843" s="16"/>
      <c r="M843" s="16"/>
      <c r="N843" s="19" t="str">
        <f>IF(A843="","",IF(K843="",IFERROR(INDEX(Products!$S$3:$S$302,MATCH(A843,Products!$A$3:$A$302,0)),"Product not found"),K843-IF(L843="Percentage",ROUND(K843*N(M843)/100,2),IF(L843="Fixed amount",N(M843),0))))</f>
        <v/>
      </c>
      <c r="O843" s="17"/>
    </row>
    <row r="844" spans="1:15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8"/>
      <c r="L844" s="16"/>
      <c r="M844" s="16"/>
      <c r="N844" s="19" t="str">
        <f>IF(A844="","",IF(K844="",IFERROR(INDEX(Products!$S$3:$S$302,MATCH(A844,Products!$A$3:$A$302,0)),"Product not found"),K844-IF(L844="Percentage",ROUND(K844*N(M844)/100,2),IF(L844="Fixed amount",N(M844),0))))</f>
        <v/>
      </c>
      <c r="O844" s="17"/>
    </row>
    <row r="845" spans="1:15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8"/>
      <c r="L845" s="16"/>
      <c r="M845" s="16"/>
      <c r="N845" s="19" t="str">
        <f>IF(A845="","",IF(K845="",IFERROR(INDEX(Products!$S$3:$S$302,MATCH(A845,Products!$A$3:$A$302,0)),"Product not found"),K845-IF(L845="Percentage",ROUND(K845*N(M845)/100,2),IF(L845="Fixed amount",N(M845),0))))</f>
        <v/>
      </c>
      <c r="O845" s="17"/>
    </row>
    <row r="846" spans="1:15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8"/>
      <c r="L846" s="16"/>
      <c r="M846" s="16"/>
      <c r="N846" s="19" t="str">
        <f>IF(A846="","",IF(K846="",IFERROR(INDEX(Products!$S$3:$S$302,MATCH(A846,Products!$A$3:$A$302,0)),"Product not found"),K846-IF(L846="Percentage",ROUND(K846*N(M846)/100,2),IF(L846="Fixed amount",N(M846),0))))</f>
        <v/>
      </c>
      <c r="O846" s="17"/>
    </row>
    <row r="847" spans="1:15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8"/>
      <c r="L847" s="16"/>
      <c r="M847" s="16"/>
      <c r="N847" s="19" t="str">
        <f>IF(A847="","",IF(K847="",IFERROR(INDEX(Products!$S$3:$S$302,MATCH(A847,Products!$A$3:$A$302,0)),"Product not found"),K847-IF(L847="Percentage",ROUND(K847*N(M847)/100,2),IF(L847="Fixed amount",N(M847),0))))</f>
        <v/>
      </c>
      <c r="O847" s="17"/>
    </row>
    <row r="848" spans="1:15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8"/>
      <c r="L848" s="16"/>
      <c r="M848" s="16"/>
      <c r="N848" s="19" t="str">
        <f>IF(A848="","",IF(K848="",IFERROR(INDEX(Products!$S$3:$S$302,MATCH(A848,Products!$A$3:$A$302,0)),"Product not found"),K848-IF(L848="Percentage",ROUND(K848*N(M848)/100,2),IF(L848="Fixed amount",N(M848),0))))</f>
        <v/>
      </c>
      <c r="O848" s="17"/>
    </row>
    <row r="849" spans="1:15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8"/>
      <c r="L849" s="16"/>
      <c r="M849" s="16"/>
      <c r="N849" s="19" t="str">
        <f>IF(A849="","",IF(K849="",IFERROR(INDEX(Products!$S$3:$S$302,MATCH(A849,Products!$A$3:$A$302,0)),"Product not found"),K849-IF(L849="Percentage",ROUND(K849*N(M849)/100,2),IF(L849="Fixed amount",N(M849),0))))</f>
        <v/>
      </c>
      <c r="O849" s="17"/>
    </row>
    <row r="850" spans="1:15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8"/>
      <c r="L850" s="16"/>
      <c r="M850" s="16"/>
      <c r="N850" s="19" t="str">
        <f>IF(A850="","",IF(K850="",IFERROR(INDEX(Products!$S$3:$S$302,MATCH(A850,Products!$A$3:$A$302,0)),"Product not found"),K850-IF(L850="Percentage",ROUND(K850*N(M850)/100,2),IF(L850="Fixed amount",N(M850),0))))</f>
        <v/>
      </c>
      <c r="O850" s="17"/>
    </row>
    <row r="851" spans="1:15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8"/>
      <c r="L851" s="16"/>
      <c r="M851" s="16"/>
      <c r="N851" s="19" t="str">
        <f>IF(A851="","",IF(K851="",IFERROR(INDEX(Products!$S$3:$S$302,MATCH(A851,Products!$A$3:$A$302,0)),"Product not found"),K851-IF(L851="Percentage",ROUND(K851*N(M851)/100,2),IF(L851="Fixed amount",N(M851),0))))</f>
        <v/>
      </c>
      <c r="O851" s="17"/>
    </row>
    <row r="852" spans="1:15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8"/>
      <c r="L852" s="16"/>
      <c r="M852" s="16"/>
      <c r="N852" s="19" t="str">
        <f>IF(A852="","",IF(K852="",IFERROR(INDEX(Products!$S$3:$S$302,MATCH(A852,Products!$A$3:$A$302,0)),"Product not found"),K852-IF(L852="Percentage",ROUND(K852*N(M852)/100,2),IF(L852="Fixed amount",N(M852),0))))</f>
        <v/>
      </c>
      <c r="O852" s="17"/>
    </row>
    <row r="853" spans="1:15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8"/>
      <c r="L853" s="16"/>
      <c r="M853" s="16"/>
      <c r="N853" s="19" t="str">
        <f>IF(A853="","",IF(K853="",IFERROR(INDEX(Products!$S$3:$S$302,MATCH(A853,Products!$A$3:$A$302,0)),"Product not found"),K853-IF(L853="Percentage",ROUND(K853*N(M853)/100,2),IF(L853="Fixed amount",N(M853),0))))</f>
        <v/>
      </c>
      <c r="O853" s="17"/>
    </row>
    <row r="854" spans="1:15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8"/>
      <c r="L854" s="16"/>
      <c r="M854" s="16"/>
      <c r="N854" s="19" t="str">
        <f>IF(A854="","",IF(K854="",IFERROR(INDEX(Products!$S$3:$S$302,MATCH(A854,Products!$A$3:$A$302,0)),"Product not found"),K854-IF(L854="Percentage",ROUND(K854*N(M854)/100,2),IF(L854="Fixed amount",N(M854),0))))</f>
        <v/>
      </c>
      <c r="O854" s="17"/>
    </row>
    <row r="855" spans="1:15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8"/>
      <c r="L855" s="16"/>
      <c r="M855" s="16"/>
      <c r="N855" s="19" t="str">
        <f>IF(A855="","",IF(K855="",IFERROR(INDEX(Products!$S$3:$S$302,MATCH(A855,Products!$A$3:$A$302,0)),"Product not found"),K855-IF(L855="Percentage",ROUND(K855*N(M855)/100,2),IF(L855="Fixed amount",N(M855),0))))</f>
        <v/>
      </c>
      <c r="O855" s="17"/>
    </row>
    <row r="856" spans="1:15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8"/>
      <c r="L856" s="16"/>
      <c r="M856" s="16"/>
      <c r="N856" s="19" t="str">
        <f>IF(A856="","",IF(K856="",IFERROR(INDEX(Products!$S$3:$S$302,MATCH(A856,Products!$A$3:$A$302,0)),"Product not found"),K856-IF(L856="Percentage",ROUND(K856*N(M856)/100,2),IF(L856="Fixed amount",N(M856),0))))</f>
        <v/>
      </c>
      <c r="O856" s="17"/>
    </row>
    <row r="857" spans="1:15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8"/>
      <c r="L857" s="16"/>
      <c r="M857" s="16"/>
      <c r="N857" s="19" t="str">
        <f>IF(A857="","",IF(K857="",IFERROR(INDEX(Products!$S$3:$S$302,MATCH(A857,Products!$A$3:$A$302,0)),"Product not found"),K857-IF(L857="Percentage",ROUND(K857*N(M857)/100,2),IF(L857="Fixed amount",N(M857),0))))</f>
        <v/>
      </c>
      <c r="O857" s="17"/>
    </row>
    <row r="858" spans="1:15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8"/>
      <c r="L858" s="16"/>
      <c r="M858" s="16"/>
      <c r="N858" s="19" t="str">
        <f>IF(A858="","",IF(K858="",IFERROR(INDEX(Products!$S$3:$S$302,MATCH(A858,Products!$A$3:$A$302,0)),"Product not found"),K858-IF(L858="Percentage",ROUND(K858*N(M858)/100,2),IF(L858="Fixed amount",N(M858),0))))</f>
        <v/>
      </c>
      <c r="O858" s="17"/>
    </row>
    <row r="859" spans="1:15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8"/>
      <c r="L859" s="16"/>
      <c r="M859" s="16"/>
      <c r="N859" s="19" t="str">
        <f>IF(A859="","",IF(K859="",IFERROR(INDEX(Products!$S$3:$S$302,MATCH(A859,Products!$A$3:$A$302,0)),"Product not found"),K859-IF(L859="Percentage",ROUND(K859*N(M859)/100,2),IF(L859="Fixed amount",N(M859),0))))</f>
        <v/>
      </c>
      <c r="O859" s="17"/>
    </row>
    <row r="860" spans="1:15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8"/>
      <c r="L860" s="16"/>
      <c r="M860" s="16"/>
      <c r="N860" s="19" t="str">
        <f>IF(A860="","",IF(K860="",IFERROR(INDEX(Products!$S$3:$S$302,MATCH(A860,Products!$A$3:$A$302,0)),"Product not found"),K860-IF(L860="Percentage",ROUND(K860*N(M860)/100,2),IF(L860="Fixed amount",N(M860),0))))</f>
        <v/>
      </c>
      <c r="O860" s="17"/>
    </row>
    <row r="861" spans="1:15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8"/>
      <c r="L861" s="16"/>
      <c r="M861" s="16"/>
      <c r="N861" s="19" t="str">
        <f>IF(A861="","",IF(K861="",IFERROR(INDEX(Products!$S$3:$S$302,MATCH(A861,Products!$A$3:$A$302,0)),"Product not found"),K861-IF(L861="Percentage",ROUND(K861*N(M861)/100,2),IF(L861="Fixed amount",N(M861),0))))</f>
        <v/>
      </c>
      <c r="O861" s="17"/>
    </row>
    <row r="862" spans="1:15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8"/>
      <c r="L862" s="16"/>
      <c r="M862" s="16"/>
      <c r="N862" s="19" t="str">
        <f>IF(A862="","",IF(K862="",IFERROR(INDEX(Products!$S$3:$S$302,MATCH(A862,Products!$A$3:$A$302,0)),"Product not found"),K862-IF(L862="Percentage",ROUND(K862*N(M862)/100,2),IF(L862="Fixed amount",N(M862),0))))</f>
        <v/>
      </c>
      <c r="O862" s="17"/>
    </row>
    <row r="863" spans="1:15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8"/>
      <c r="L863" s="16"/>
      <c r="M863" s="16"/>
      <c r="N863" s="19" t="str">
        <f>IF(A863="","",IF(K863="",IFERROR(INDEX(Products!$S$3:$S$302,MATCH(A863,Products!$A$3:$A$302,0)),"Product not found"),K863-IF(L863="Percentage",ROUND(K863*N(M863)/100,2),IF(L863="Fixed amount",N(M863),0))))</f>
        <v/>
      </c>
      <c r="O863" s="17"/>
    </row>
    <row r="864" spans="1:15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8"/>
      <c r="L864" s="16"/>
      <c r="M864" s="16"/>
      <c r="N864" s="19" t="str">
        <f>IF(A864="","",IF(K864="",IFERROR(INDEX(Products!$S$3:$S$302,MATCH(A864,Products!$A$3:$A$302,0)),"Product not found"),K864-IF(L864="Percentage",ROUND(K864*N(M864)/100,2),IF(L864="Fixed amount",N(M864),0))))</f>
        <v/>
      </c>
      <c r="O864" s="17"/>
    </row>
    <row r="865" spans="1:15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8"/>
      <c r="L865" s="16"/>
      <c r="M865" s="16"/>
      <c r="N865" s="19" t="str">
        <f>IF(A865="","",IF(K865="",IFERROR(INDEX(Products!$S$3:$S$302,MATCH(A865,Products!$A$3:$A$302,0)),"Product not found"),K865-IF(L865="Percentage",ROUND(K865*N(M865)/100,2),IF(L865="Fixed amount",N(M865),0))))</f>
        <v/>
      </c>
      <c r="O865" s="17"/>
    </row>
    <row r="866" spans="1:15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8"/>
      <c r="L866" s="16"/>
      <c r="M866" s="16"/>
      <c r="N866" s="19" t="str">
        <f>IF(A866="","",IF(K866="",IFERROR(INDEX(Products!$S$3:$S$302,MATCH(A866,Products!$A$3:$A$302,0)),"Product not found"),K866-IF(L866="Percentage",ROUND(K866*N(M866)/100,2),IF(L866="Fixed amount",N(M866),0))))</f>
        <v/>
      </c>
      <c r="O866" s="17"/>
    </row>
    <row r="867" spans="1:15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8"/>
      <c r="L867" s="16"/>
      <c r="M867" s="16"/>
      <c r="N867" s="19" t="str">
        <f>IF(A867="","",IF(K867="",IFERROR(INDEX(Products!$S$3:$S$302,MATCH(A867,Products!$A$3:$A$302,0)),"Product not found"),K867-IF(L867="Percentage",ROUND(K867*N(M867)/100,2),IF(L867="Fixed amount",N(M867),0))))</f>
        <v/>
      </c>
      <c r="O867" s="17"/>
    </row>
    <row r="868" spans="1:15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8"/>
      <c r="L868" s="16"/>
      <c r="M868" s="16"/>
      <c r="N868" s="19" t="str">
        <f>IF(A868="","",IF(K868="",IFERROR(INDEX(Products!$S$3:$S$302,MATCH(A868,Products!$A$3:$A$302,0)),"Product not found"),K868-IF(L868="Percentage",ROUND(K868*N(M868)/100,2),IF(L868="Fixed amount",N(M868),0))))</f>
        <v/>
      </c>
      <c r="O868" s="17"/>
    </row>
    <row r="869" spans="1:15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8"/>
      <c r="L869" s="16"/>
      <c r="M869" s="16"/>
      <c r="N869" s="19" t="str">
        <f>IF(A869="","",IF(K869="",IFERROR(INDEX(Products!$S$3:$S$302,MATCH(A869,Products!$A$3:$A$302,0)),"Product not found"),K869-IF(L869="Percentage",ROUND(K869*N(M869)/100,2),IF(L869="Fixed amount",N(M869),0))))</f>
        <v/>
      </c>
      <c r="O869" s="17"/>
    </row>
    <row r="870" spans="1:15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8"/>
      <c r="L870" s="16"/>
      <c r="M870" s="16"/>
      <c r="N870" s="19" t="str">
        <f>IF(A870="","",IF(K870="",IFERROR(INDEX(Products!$S$3:$S$302,MATCH(A870,Products!$A$3:$A$302,0)),"Product not found"),K870-IF(L870="Percentage",ROUND(K870*N(M870)/100,2),IF(L870="Fixed amount",N(M870),0))))</f>
        <v/>
      </c>
      <c r="O870" s="17"/>
    </row>
    <row r="871" spans="1:15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8"/>
      <c r="L871" s="16"/>
      <c r="M871" s="16"/>
      <c r="N871" s="19" t="str">
        <f>IF(A871="","",IF(K871="",IFERROR(INDEX(Products!$S$3:$S$302,MATCH(A871,Products!$A$3:$A$302,0)),"Product not found"),K871-IF(L871="Percentage",ROUND(K871*N(M871)/100,2),IF(L871="Fixed amount",N(M871),0))))</f>
        <v/>
      </c>
      <c r="O871" s="17"/>
    </row>
    <row r="872" spans="1:15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8"/>
      <c r="L872" s="16"/>
      <c r="M872" s="16"/>
      <c r="N872" s="19" t="str">
        <f>IF(A872="","",IF(K872="",IFERROR(INDEX(Products!$S$3:$S$302,MATCH(A872,Products!$A$3:$A$302,0)),"Product not found"),K872-IF(L872="Percentage",ROUND(K872*N(M872)/100,2),IF(L872="Fixed amount",N(M872),0))))</f>
        <v/>
      </c>
      <c r="O872" s="17"/>
    </row>
    <row r="873" spans="1:15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8"/>
      <c r="L873" s="16"/>
      <c r="M873" s="16"/>
      <c r="N873" s="19" t="str">
        <f>IF(A873="","",IF(K873="",IFERROR(INDEX(Products!$S$3:$S$302,MATCH(A873,Products!$A$3:$A$302,0)),"Product not found"),K873-IF(L873="Percentage",ROUND(K873*N(M873)/100,2),IF(L873="Fixed amount",N(M873),0))))</f>
        <v/>
      </c>
      <c r="O873" s="17"/>
    </row>
    <row r="874" spans="1:15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8"/>
      <c r="L874" s="16"/>
      <c r="M874" s="16"/>
      <c r="N874" s="19" t="str">
        <f>IF(A874="","",IF(K874="",IFERROR(INDEX(Products!$S$3:$S$302,MATCH(A874,Products!$A$3:$A$302,0)),"Product not found"),K874-IF(L874="Percentage",ROUND(K874*N(M874)/100,2),IF(L874="Fixed amount",N(M874),0))))</f>
        <v/>
      </c>
      <c r="O874" s="17"/>
    </row>
    <row r="875" spans="1:15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8"/>
      <c r="L875" s="16"/>
      <c r="M875" s="16"/>
      <c r="N875" s="19" t="str">
        <f>IF(A875="","",IF(K875="",IFERROR(INDEX(Products!$S$3:$S$302,MATCH(A875,Products!$A$3:$A$302,0)),"Product not found"),K875-IF(L875="Percentage",ROUND(K875*N(M875)/100,2),IF(L875="Fixed amount",N(M875),0))))</f>
        <v/>
      </c>
      <c r="O875" s="17"/>
    </row>
    <row r="876" spans="1:15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8"/>
      <c r="L876" s="16"/>
      <c r="M876" s="16"/>
      <c r="N876" s="19" t="str">
        <f>IF(A876="","",IF(K876="",IFERROR(INDEX(Products!$S$3:$S$302,MATCH(A876,Products!$A$3:$A$302,0)),"Product not found"),K876-IF(L876="Percentage",ROUND(K876*N(M876)/100,2),IF(L876="Fixed amount",N(M876),0))))</f>
        <v/>
      </c>
      <c r="O876" s="17"/>
    </row>
    <row r="877" spans="1:15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8"/>
      <c r="L877" s="16"/>
      <c r="M877" s="16"/>
      <c r="N877" s="19" t="str">
        <f>IF(A877="","",IF(K877="",IFERROR(INDEX(Products!$S$3:$S$302,MATCH(A877,Products!$A$3:$A$302,0)),"Product not found"),K877-IF(L877="Percentage",ROUND(K877*N(M877)/100,2),IF(L877="Fixed amount",N(M877),0))))</f>
        <v/>
      </c>
      <c r="O877" s="17"/>
    </row>
    <row r="878" spans="1:15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8"/>
      <c r="L878" s="16"/>
      <c r="M878" s="16"/>
      <c r="N878" s="19" t="str">
        <f>IF(A878="","",IF(K878="",IFERROR(INDEX(Products!$S$3:$S$302,MATCH(A878,Products!$A$3:$A$302,0)),"Product not found"),K878-IF(L878="Percentage",ROUND(K878*N(M878)/100,2),IF(L878="Fixed amount",N(M878),0))))</f>
        <v/>
      </c>
      <c r="O878" s="17"/>
    </row>
    <row r="879" spans="1:15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8"/>
      <c r="L879" s="16"/>
      <c r="M879" s="16"/>
      <c r="N879" s="19" t="str">
        <f>IF(A879="","",IF(K879="",IFERROR(INDEX(Products!$S$3:$S$302,MATCH(A879,Products!$A$3:$A$302,0)),"Product not found"),K879-IF(L879="Percentage",ROUND(K879*N(M879)/100,2),IF(L879="Fixed amount",N(M879),0))))</f>
        <v/>
      </c>
      <c r="O879" s="17"/>
    </row>
    <row r="880" spans="1:15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8"/>
      <c r="L880" s="16"/>
      <c r="M880" s="16"/>
      <c r="N880" s="19" t="str">
        <f>IF(A880="","",IF(K880="",IFERROR(INDEX(Products!$S$3:$S$302,MATCH(A880,Products!$A$3:$A$302,0)),"Product not found"),K880-IF(L880="Percentage",ROUND(K880*N(M880)/100,2),IF(L880="Fixed amount",N(M880),0))))</f>
        <v/>
      </c>
      <c r="O880" s="17"/>
    </row>
    <row r="881" spans="1:15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8"/>
      <c r="L881" s="16"/>
      <c r="M881" s="16"/>
      <c r="N881" s="19" t="str">
        <f>IF(A881="","",IF(K881="",IFERROR(INDEX(Products!$S$3:$S$302,MATCH(A881,Products!$A$3:$A$302,0)),"Product not found"),K881-IF(L881="Percentage",ROUND(K881*N(M881)/100,2),IF(L881="Fixed amount",N(M881),0))))</f>
        <v/>
      </c>
      <c r="O881" s="17"/>
    </row>
    <row r="882" spans="1:15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8"/>
      <c r="L882" s="16"/>
      <c r="M882" s="16"/>
      <c r="N882" s="19" t="str">
        <f>IF(A882="","",IF(K882="",IFERROR(INDEX(Products!$S$3:$S$302,MATCH(A882,Products!$A$3:$A$302,0)),"Product not found"),K882-IF(L882="Percentage",ROUND(K882*N(M882)/100,2),IF(L882="Fixed amount",N(M882),0))))</f>
        <v/>
      </c>
      <c r="O882" s="17"/>
    </row>
    <row r="883" spans="1:15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8"/>
      <c r="L883" s="16"/>
      <c r="M883" s="16"/>
      <c r="N883" s="19" t="str">
        <f>IF(A883="","",IF(K883="",IFERROR(INDEX(Products!$S$3:$S$302,MATCH(A883,Products!$A$3:$A$302,0)),"Product not found"),K883-IF(L883="Percentage",ROUND(K883*N(M883)/100,2),IF(L883="Fixed amount",N(M883),0))))</f>
        <v/>
      </c>
      <c r="O883" s="17"/>
    </row>
    <row r="884" spans="1:15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8"/>
      <c r="L884" s="16"/>
      <c r="M884" s="16"/>
      <c r="N884" s="19" t="str">
        <f>IF(A884="","",IF(K884="",IFERROR(INDEX(Products!$S$3:$S$302,MATCH(A884,Products!$A$3:$A$302,0)),"Product not found"),K884-IF(L884="Percentage",ROUND(K884*N(M884)/100,2),IF(L884="Fixed amount",N(M884),0))))</f>
        <v/>
      </c>
      <c r="O884" s="17"/>
    </row>
    <row r="885" spans="1:15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8"/>
      <c r="L885" s="16"/>
      <c r="M885" s="16"/>
      <c r="N885" s="19" t="str">
        <f>IF(A885="","",IF(K885="",IFERROR(INDEX(Products!$S$3:$S$302,MATCH(A885,Products!$A$3:$A$302,0)),"Product not found"),K885-IF(L885="Percentage",ROUND(K885*N(M885)/100,2),IF(L885="Fixed amount",N(M885),0))))</f>
        <v/>
      </c>
      <c r="O885" s="17"/>
    </row>
    <row r="886" spans="1:15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8"/>
      <c r="L886" s="16"/>
      <c r="M886" s="16"/>
      <c r="N886" s="19" t="str">
        <f>IF(A886="","",IF(K886="",IFERROR(INDEX(Products!$S$3:$S$302,MATCH(A886,Products!$A$3:$A$302,0)),"Product not found"),K886-IF(L886="Percentage",ROUND(K886*N(M886)/100,2),IF(L886="Fixed amount",N(M886),0))))</f>
        <v/>
      </c>
      <c r="O886" s="17"/>
    </row>
    <row r="887" spans="1:15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8"/>
      <c r="L887" s="16"/>
      <c r="M887" s="16"/>
      <c r="N887" s="19" t="str">
        <f>IF(A887="","",IF(K887="",IFERROR(INDEX(Products!$S$3:$S$302,MATCH(A887,Products!$A$3:$A$302,0)),"Product not found"),K887-IF(L887="Percentage",ROUND(K887*N(M887)/100,2),IF(L887="Fixed amount",N(M887),0))))</f>
        <v/>
      </c>
      <c r="O887" s="17"/>
    </row>
    <row r="888" spans="1:15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8"/>
      <c r="L888" s="16"/>
      <c r="M888" s="16"/>
      <c r="N888" s="19" t="str">
        <f>IF(A888="","",IF(K888="",IFERROR(INDEX(Products!$S$3:$S$302,MATCH(A888,Products!$A$3:$A$302,0)),"Product not found"),K888-IF(L888="Percentage",ROUND(K888*N(M888)/100,2),IF(L888="Fixed amount",N(M888),0))))</f>
        <v/>
      </c>
      <c r="O888" s="17"/>
    </row>
    <row r="889" spans="1:15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8"/>
      <c r="L889" s="16"/>
      <c r="M889" s="16"/>
      <c r="N889" s="19" t="str">
        <f>IF(A889="","",IF(K889="",IFERROR(INDEX(Products!$S$3:$S$302,MATCH(A889,Products!$A$3:$A$302,0)),"Product not found"),K889-IF(L889="Percentage",ROUND(K889*N(M889)/100,2),IF(L889="Fixed amount",N(M889),0))))</f>
        <v/>
      </c>
      <c r="O889" s="17"/>
    </row>
    <row r="890" spans="1:15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8"/>
      <c r="L890" s="16"/>
      <c r="M890" s="16"/>
      <c r="N890" s="19" t="str">
        <f>IF(A890="","",IF(K890="",IFERROR(INDEX(Products!$S$3:$S$302,MATCH(A890,Products!$A$3:$A$302,0)),"Product not found"),K890-IF(L890="Percentage",ROUND(K890*N(M890)/100,2),IF(L890="Fixed amount",N(M890),0))))</f>
        <v/>
      </c>
      <c r="O890" s="17"/>
    </row>
    <row r="891" spans="1:15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8"/>
      <c r="L891" s="16"/>
      <c r="M891" s="16"/>
      <c r="N891" s="19" t="str">
        <f>IF(A891="","",IF(K891="",IFERROR(INDEX(Products!$S$3:$S$302,MATCH(A891,Products!$A$3:$A$302,0)),"Product not found"),K891-IF(L891="Percentage",ROUND(K891*N(M891)/100,2),IF(L891="Fixed amount",N(M891),0))))</f>
        <v/>
      </c>
      <c r="O891" s="17"/>
    </row>
    <row r="892" spans="1:15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8"/>
      <c r="L892" s="16"/>
      <c r="M892" s="16"/>
      <c r="N892" s="19" t="str">
        <f>IF(A892="","",IF(K892="",IFERROR(INDEX(Products!$S$3:$S$302,MATCH(A892,Products!$A$3:$A$302,0)),"Product not found"),K892-IF(L892="Percentage",ROUND(K892*N(M892)/100,2),IF(L892="Fixed amount",N(M892),0))))</f>
        <v/>
      </c>
      <c r="O892" s="17"/>
    </row>
    <row r="893" spans="1:15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8"/>
      <c r="L893" s="16"/>
      <c r="M893" s="16"/>
      <c r="N893" s="19" t="str">
        <f>IF(A893="","",IF(K893="",IFERROR(INDEX(Products!$S$3:$S$302,MATCH(A893,Products!$A$3:$A$302,0)),"Product not found"),K893-IF(L893="Percentage",ROUND(K893*N(M893)/100,2),IF(L893="Fixed amount",N(M893),0))))</f>
        <v/>
      </c>
      <c r="O893" s="17"/>
    </row>
    <row r="894" spans="1:15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8"/>
      <c r="L894" s="16"/>
      <c r="M894" s="16"/>
      <c r="N894" s="19" t="str">
        <f>IF(A894="","",IF(K894="",IFERROR(INDEX(Products!$S$3:$S$302,MATCH(A894,Products!$A$3:$A$302,0)),"Product not found"),K894-IF(L894="Percentage",ROUND(K894*N(M894)/100,2),IF(L894="Fixed amount",N(M894),0))))</f>
        <v/>
      </c>
      <c r="O894" s="17"/>
    </row>
    <row r="895" spans="1:15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8"/>
      <c r="L895" s="16"/>
      <c r="M895" s="16"/>
      <c r="N895" s="19" t="str">
        <f>IF(A895="","",IF(K895="",IFERROR(INDEX(Products!$S$3:$S$302,MATCH(A895,Products!$A$3:$A$302,0)),"Product not found"),K895-IF(L895="Percentage",ROUND(K895*N(M895)/100,2),IF(L895="Fixed amount",N(M895),0))))</f>
        <v/>
      </c>
      <c r="O895" s="17"/>
    </row>
    <row r="896" spans="1:15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8"/>
      <c r="L896" s="16"/>
      <c r="M896" s="16"/>
      <c r="N896" s="19" t="str">
        <f>IF(A896="","",IF(K896="",IFERROR(INDEX(Products!$S$3:$S$302,MATCH(A896,Products!$A$3:$A$302,0)),"Product not found"),K896-IF(L896="Percentage",ROUND(K896*N(M896)/100,2),IF(L896="Fixed amount",N(M896),0))))</f>
        <v/>
      </c>
      <c r="O896" s="17"/>
    </row>
    <row r="897" spans="1:15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8"/>
      <c r="L897" s="16"/>
      <c r="M897" s="16"/>
      <c r="N897" s="19" t="str">
        <f>IF(A897="","",IF(K897="",IFERROR(INDEX(Products!$S$3:$S$302,MATCH(A897,Products!$A$3:$A$302,0)),"Product not found"),K897-IF(L897="Percentage",ROUND(K897*N(M897)/100,2),IF(L897="Fixed amount",N(M897),0))))</f>
        <v/>
      </c>
      <c r="O897" s="17"/>
    </row>
    <row r="898" spans="1:15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8"/>
      <c r="L898" s="16"/>
      <c r="M898" s="16"/>
      <c r="N898" s="19" t="str">
        <f>IF(A898="","",IF(K898="",IFERROR(INDEX(Products!$S$3:$S$302,MATCH(A898,Products!$A$3:$A$302,0)),"Product not found"),K898-IF(L898="Percentage",ROUND(K898*N(M898)/100,2),IF(L898="Fixed amount",N(M898),0))))</f>
        <v/>
      </c>
      <c r="O898" s="17"/>
    </row>
    <row r="899" spans="1:15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8"/>
      <c r="L899" s="16"/>
      <c r="M899" s="16"/>
      <c r="N899" s="19" t="str">
        <f>IF(A899="","",IF(K899="",IFERROR(INDEX(Products!$S$3:$S$302,MATCH(A899,Products!$A$3:$A$302,0)),"Product not found"),K899-IF(L899="Percentage",ROUND(K899*N(M899)/100,2),IF(L899="Fixed amount",N(M899),0))))</f>
        <v/>
      </c>
      <c r="O899" s="17"/>
    </row>
    <row r="900" spans="1:15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8"/>
      <c r="L900" s="16"/>
      <c r="M900" s="16"/>
      <c r="N900" s="19" t="str">
        <f>IF(A900="","",IF(K900="",IFERROR(INDEX(Products!$S$3:$S$302,MATCH(A900,Products!$A$3:$A$302,0)),"Product not found"),K900-IF(L900="Percentage",ROUND(K900*N(M900)/100,2),IF(L900="Fixed amount",N(M900),0))))</f>
        <v/>
      </c>
      <c r="O900" s="17"/>
    </row>
    <row r="901" spans="1:15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8"/>
      <c r="L901" s="16"/>
      <c r="M901" s="16"/>
      <c r="N901" s="19" t="str">
        <f>IF(A901="","",IF(K901="",IFERROR(INDEX(Products!$S$3:$S$302,MATCH(A901,Products!$A$3:$A$302,0)),"Product not found"),K901-IF(L901="Percentage",ROUND(K901*N(M901)/100,2),IF(L901="Fixed amount",N(M901),0))))</f>
        <v/>
      </c>
      <c r="O901" s="17"/>
    </row>
    <row r="902" spans="1:15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8"/>
      <c r="L902" s="16"/>
      <c r="M902" s="16"/>
      <c r="N902" s="19" t="str">
        <f>IF(A902="","",IF(K902="",IFERROR(INDEX(Products!$S$3:$S$302,MATCH(A902,Products!$A$3:$A$302,0)),"Product not found"),K902-IF(L902="Percentage",ROUND(K902*N(M902)/100,2),IF(L902="Fixed amount",N(M902),0))))</f>
        <v/>
      </c>
      <c r="O902" s="17"/>
    </row>
    <row r="903" spans="1:15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8"/>
      <c r="L903" s="16"/>
      <c r="M903" s="16"/>
      <c r="N903" s="19" t="str">
        <f>IF(A903="","",IF(K903="",IFERROR(INDEX(Products!$S$3:$S$302,MATCH(A903,Products!$A$3:$A$302,0)),"Product not found"),K903-IF(L903="Percentage",ROUND(K903*N(M903)/100,2),IF(L903="Fixed amount",N(M903),0))))</f>
        <v/>
      </c>
      <c r="O903" s="17"/>
    </row>
    <row r="904" spans="1:15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8"/>
      <c r="L904" s="16"/>
      <c r="M904" s="16"/>
      <c r="N904" s="19" t="str">
        <f>IF(A904="","",IF(K904="",IFERROR(INDEX(Products!$S$3:$S$302,MATCH(A904,Products!$A$3:$A$302,0)),"Product not found"),K904-IF(L904="Percentage",ROUND(K904*N(M904)/100,2),IF(L904="Fixed amount",N(M904),0))))</f>
        <v/>
      </c>
      <c r="O904" s="17"/>
    </row>
    <row r="905" spans="1:15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8"/>
      <c r="L905" s="16"/>
      <c r="M905" s="16"/>
      <c r="N905" s="19" t="str">
        <f>IF(A905="","",IF(K905="",IFERROR(INDEX(Products!$S$3:$S$302,MATCH(A905,Products!$A$3:$A$302,0)),"Product not found"),K905-IF(L905="Percentage",ROUND(K905*N(M905)/100,2),IF(L905="Fixed amount",N(M905),0))))</f>
        <v/>
      </c>
      <c r="O905" s="17"/>
    </row>
    <row r="906" spans="1:15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8"/>
      <c r="L906" s="16"/>
      <c r="M906" s="16"/>
      <c r="N906" s="19" t="str">
        <f>IF(A906="","",IF(K906="",IFERROR(INDEX(Products!$S$3:$S$302,MATCH(A906,Products!$A$3:$A$302,0)),"Product not found"),K906-IF(L906="Percentage",ROUND(K906*N(M906)/100,2),IF(L906="Fixed amount",N(M906),0))))</f>
        <v/>
      </c>
      <c r="O906" s="17"/>
    </row>
    <row r="907" spans="1:15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8"/>
      <c r="L907" s="16"/>
      <c r="M907" s="16"/>
      <c r="N907" s="19" t="str">
        <f>IF(A907="","",IF(K907="",IFERROR(INDEX(Products!$S$3:$S$302,MATCH(A907,Products!$A$3:$A$302,0)),"Product not found"),K907-IF(L907="Percentage",ROUND(K907*N(M907)/100,2),IF(L907="Fixed amount",N(M907),0))))</f>
        <v/>
      </c>
      <c r="O907" s="17"/>
    </row>
    <row r="908" spans="1:15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8"/>
      <c r="L908" s="16"/>
      <c r="M908" s="16"/>
      <c r="N908" s="19" t="str">
        <f>IF(A908="","",IF(K908="",IFERROR(INDEX(Products!$S$3:$S$302,MATCH(A908,Products!$A$3:$A$302,0)),"Product not found"),K908-IF(L908="Percentage",ROUND(K908*N(M908)/100,2),IF(L908="Fixed amount",N(M908),0))))</f>
        <v/>
      </c>
      <c r="O908" s="17"/>
    </row>
    <row r="909" spans="1:15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8"/>
      <c r="L909" s="16"/>
      <c r="M909" s="16"/>
      <c r="N909" s="19" t="str">
        <f>IF(A909="","",IF(K909="",IFERROR(INDEX(Products!$S$3:$S$302,MATCH(A909,Products!$A$3:$A$302,0)),"Product not found"),K909-IF(L909="Percentage",ROUND(K909*N(M909)/100,2),IF(L909="Fixed amount",N(M909),0))))</f>
        <v/>
      </c>
      <c r="O909" s="17"/>
    </row>
    <row r="910" spans="1:15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8"/>
      <c r="L910" s="16"/>
      <c r="M910" s="16"/>
      <c r="N910" s="19" t="str">
        <f>IF(A910="","",IF(K910="",IFERROR(INDEX(Products!$S$3:$S$302,MATCH(A910,Products!$A$3:$A$302,0)),"Product not found"),K910-IF(L910="Percentage",ROUND(K910*N(M910)/100,2),IF(L910="Fixed amount",N(M910),0))))</f>
        <v/>
      </c>
      <c r="O910" s="17"/>
    </row>
    <row r="911" spans="1:15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8"/>
      <c r="L911" s="16"/>
      <c r="M911" s="16"/>
      <c r="N911" s="19" t="str">
        <f>IF(A911="","",IF(K911="",IFERROR(INDEX(Products!$S$3:$S$302,MATCH(A911,Products!$A$3:$A$302,0)),"Product not found"),K911-IF(L911="Percentage",ROUND(K911*N(M911)/100,2),IF(L911="Fixed amount",N(M911),0))))</f>
        <v/>
      </c>
      <c r="O911" s="17"/>
    </row>
    <row r="912" spans="1:15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8"/>
      <c r="L912" s="16"/>
      <c r="M912" s="16"/>
      <c r="N912" s="19" t="str">
        <f>IF(A912="","",IF(K912="",IFERROR(INDEX(Products!$S$3:$S$302,MATCH(A912,Products!$A$3:$A$302,0)),"Product not found"),K912-IF(L912="Percentage",ROUND(K912*N(M912)/100,2),IF(L912="Fixed amount",N(M912),0))))</f>
        <v/>
      </c>
      <c r="O912" s="17"/>
    </row>
    <row r="913" spans="1:15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8"/>
      <c r="L913" s="16"/>
      <c r="M913" s="16"/>
      <c r="N913" s="19" t="str">
        <f>IF(A913="","",IF(K913="",IFERROR(INDEX(Products!$S$3:$S$302,MATCH(A913,Products!$A$3:$A$302,0)),"Product not found"),K913-IF(L913="Percentage",ROUND(K913*N(M913)/100,2),IF(L913="Fixed amount",N(M913),0))))</f>
        <v/>
      </c>
      <c r="O913" s="17"/>
    </row>
    <row r="914" spans="1:15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8"/>
      <c r="L914" s="16"/>
      <c r="M914" s="16"/>
      <c r="N914" s="19" t="str">
        <f>IF(A914="","",IF(K914="",IFERROR(INDEX(Products!$S$3:$S$302,MATCH(A914,Products!$A$3:$A$302,0)),"Product not found"),K914-IF(L914="Percentage",ROUND(K914*N(M914)/100,2),IF(L914="Fixed amount",N(M914),0))))</f>
        <v/>
      </c>
      <c r="O914" s="17"/>
    </row>
    <row r="915" spans="1:15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8"/>
      <c r="L915" s="16"/>
      <c r="M915" s="16"/>
      <c r="N915" s="19" t="str">
        <f>IF(A915="","",IF(K915="",IFERROR(INDEX(Products!$S$3:$S$302,MATCH(A915,Products!$A$3:$A$302,0)),"Product not found"),K915-IF(L915="Percentage",ROUND(K915*N(M915)/100,2),IF(L915="Fixed amount",N(M915),0))))</f>
        <v/>
      </c>
      <c r="O915" s="17"/>
    </row>
    <row r="916" spans="1:15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8"/>
      <c r="L916" s="16"/>
      <c r="M916" s="16"/>
      <c r="N916" s="19" t="str">
        <f>IF(A916="","",IF(K916="",IFERROR(INDEX(Products!$S$3:$S$302,MATCH(A916,Products!$A$3:$A$302,0)),"Product not found"),K916-IF(L916="Percentage",ROUND(K916*N(M916)/100,2),IF(L916="Fixed amount",N(M916),0))))</f>
        <v/>
      </c>
      <c r="O916" s="17"/>
    </row>
    <row r="917" spans="1:15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8"/>
      <c r="L917" s="16"/>
      <c r="M917" s="16"/>
      <c r="N917" s="19" t="str">
        <f>IF(A917="","",IF(K917="",IFERROR(INDEX(Products!$S$3:$S$302,MATCH(A917,Products!$A$3:$A$302,0)),"Product not found"),K917-IF(L917="Percentage",ROUND(K917*N(M917)/100,2),IF(L917="Fixed amount",N(M917),0))))</f>
        <v/>
      </c>
      <c r="O917" s="17"/>
    </row>
    <row r="918" spans="1:15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8"/>
      <c r="L918" s="16"/>
      <c r="M918" s="16"/>
      <c r="N918" s="19" t="str">
        <f>IF(A918="","",IF(K918="",IFERROR(INDEX(Products!$S$3:$S$302,MATCH(A918,Products!$A$3:$A$302,0)),"Product not found"),K918-IF(L918="Percentage",ROUND(K918*N(M918)/100,2),IF(L918="Fixed amount",N(M918),0))))</f>
        <v/>
      </c>
      <c r="O918" s="17"/>
    </row>
    <row r="919" spans="1:15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8"/>
      <c r="L919" s="16"/>
      <c r="M919" s="16"/>
      <c r="N919" s="19" t="str">
        <f>IF(A919="","",IF(K919="",IFERROR(INDEX(Products!$S$3:$S$302,MATCH(A919,Products!$A$3:$A$302,0)),"Product not found"),K919-IF(L919="Percentage",ROUND(K919*N(M919)/100,2),IF(L919="Fixed amount",N(M919),0))))</f>
        <v/>
      </c>
      <c r="O919" s="17"/>
    </row>
    <row r="920" spans="1:15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8"/>
      <c r="L920" s="16"/>
      <c r="M920" s="16"/>
      <c r="N920" s="19" t="str">
        <f>IF(A920="","",IF(K920="",IFERROR(INDEX(Products!$S$3:$S$302,MATCH(A920,Products!$A$3:$A$302,0)),"Product not found"),K920-IF(L920="Percentage",ROUND(K920*N(M920)/100,2),IF(L920="Fixed amount",N(M920),0))))</f>
        <v/>
      </c>
      <c r="O920" s="17"/>
    </row>
    <row r="921" spans="1:15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8"/>
      <c r="L921" s="16"/>
      <c r="M921" s="16"/>
      <c r="N921" s="19" t="str">
        <f>IF(A921="","",IF(K921="",IFERROR(INDEX(Products!$S$3:$S$302,MATCH(A921,Products!$A$3:$A$302,0)),"Product not found"),K921-IF(L921="Percentage",ROUND(K921*N(M921)/100,2),IF(L921="Fixed amount",N(M921),0))))</f>
        <v/>
      </c>
      <c r="O921" s="17"/>
    </row>
    <row r="922" spans="1:15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8"/>
      <c r="L922" s="16"/>
      <c r="M922" s="16"/>
      <c r="N922" s="19" t="str">
        <f>IF(A922="","",IF(K922="",IFERROR(INDEX(Products!$S$3:$S$302,MATCH(A922,Products!$A$3:$A$302,0)),"Product not found"),K922-IF(L922="Percentage",ROUND(K922*N(M922)/100,2),IF(L922="Fixed amount",N(M922),0))))</f>
        <v/>
      </c>
      <c r="O922" s="17"/>
    </row>
    <row r="923" spans="1:15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8"/>
      <c r="L923" s="16"/>
      <c r="M923" s="16"/>
      <c r="N923" s="19" t="str">
        <f>IF(A923="","",IF(K923="",IFERROR(INDEX(Products!$S$3:$S$302,MATCH(A923,Products!$A$3:$A$302,0)),"Product not found"),K923-IF(L923="Percentage",ROUND(K923*N(M923)/100,2),IF(L923="Fixed amount",N(M923),0))))</f>
        <v/>
      </c>
      <c r="O923" s="17"/>
    </row>
    <row r="924" spans="1:15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8"/>
      <c r="L924" s="16"/>
      <c r="M924" s="16"/>
      <c r="N924" s="19" t="str">
        <f>IF(A924="","",IF(K924="",IFERROR(INDEX(Products!$S$3:$S$302,MATCH(A924,Products!$A$3:$A$302,0)),"Product not found"),K924-IF(L924="Percentage",ROUND(K924*N(M924)/100,2),IF(L924="Fixed amount",N(M924),0))))</f>
        <v/>
      </c>
      <c r="O924" s="17"/>
    </row>
    <row r="925" spans="1:15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8"/>
      <c r="L925" s="16"/>
      <c r="M925" s="16"/>
      <c r="N925" s="19" t="str">
        <f>IF(A925="","",IF(K925="",IFERROR(INDEX(Products!$S$3:$S$302,MATCH(A925,Products!$A$3:$A$302,0)),"Product not found"),K925-IF(L925="Percentage",ROUND(K925*N(M925)/100,2),IF(L925="Fixed amount",N(M925),0))))</f>
        <v/>
      </c>
      <c r="O925" s="17"/>
    </row>
    <row r="926" spans="1:15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8"/>
      <c r="L926" s="16"/>
      <c r="M926" s="16"/>
      <c r="N926" s="19" t="str">
        <f>IF(A926="","",IF(K926="",IFERROR(INDEX(Products!$S$3:$S$302,MATCH(A926,Products!$A$3:$A$302,0)),"Product not found"),K926-IF(L926="Percentage",ROUND(K926*N(M926)/100,2),IF(L926="Fixed amount",N(M926),0))))</f>
        <v/>
      </c>
      <c r="O926" s="17"/>
    </row>
    <row r="927" spans="1:15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8"/>
      <c r="L927" s="16"/>
      <c r="M927" s="16"/>
      <c r="N927" s="19" t="str">
        <f>IF(A927="","",IF(K927="",IFERROR(INDEX(Products!$S$3:$S$302,MATCH(A927,Products!$A$3:$A$302,0)),"Product not found"),K927-IF(L927="Percentage",ROUND(K927*N(M927)/100,2),IF(L927="Fixed amount",N(M927),0))))</f>
        <v/>
      </c>
      <c r="O927" s="17"/>
    </row>
    <row r="928" spans="1:15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8"/>
      <c r="L928" s="16"/>
      <c r="M928" s="16"/>
      <c r="N928" s="19" t="str">
        <f>IF(A928="","",IF(K928="",IFERROR(INDEX(Products!$S$3:$S$302,MATCH(A928,Products!$A$3:$A$302,0)),"Product not found"),K928-IF(L928="Percentage",ROUND(K928*N(M928)/100,2),IF(L928="Fixed amount",N(M928),0))))</f>
        <v/>
      </c>
      <c r="O928" s="17"/>
    </row>
    <row r="929" spans="1:15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8"/>
      <c r="L929" s="16"/>
      <c r="M929" s="16"/>
      <c r="N929" s="19" t="str">
        <f>IF(A929="","",IF(K929="",IFERROR(INDEX(Products!$S$3:$S$302,MATCH(A929,Products!$A$3:$A$302,0)),"Product not found"),K929-IF(L929="Percentage",ROUND(K929*N(M929)/100,2),IF(L929="Fixed amount",N(M929),0))))</f>
        <v/>
      </c>
      <c r="O929" s="17"/>
    </row>
    <row r="930" spans="1:15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8"/>
      <c r="L930" s="16"/>
      <c r="M930" s="16"/>
      <c r="N930" s="19" t="str">
        <f>IF(A930="","",IF(K930="",IFERROR(INDEX(Products!$S$3:$S$302,MATCH(A930,Products!$A$3:$A$302,0)),"Product not found"),K930-IF(L930="Percentage",ROUND(K930*N(M930)/100,2),IF(L930="Fixed amount",N(M930),0))))</f>
        <v/>
      </c>
      <c r="O930" s="17"/>
    </row>
    <row r="931" spans="1:15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8"/>
      <c r="L931" s="16"/>
      <c r="M931" s="16"/>
      <c r="N931" s="19" t="str">
        <f>IF(A931="","",IF(K931="",IFERROR(INDEX(Products!$S$3:$S$302,MATCH(A931,Products!$A$3:$A$302,0)),"Product not found"),K931-IF(L931="Percentage",ROUND(K931*N(M931)/100,2),IF(L931="Fixed amount",N(M931),0))))</f>
        <v/>
      </c>
      <c r="O931" s="17"/>
    </row>
    <row r="932" spans="1:15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8"/>
      <c r="L932" s="16"/>
      <c r="M932" s="16"/>
      <c r="N932" s="19" t="str">
        <f>IF(A932="","",IF(K932="",IFERROR(INDEX(Products!$S$3:$S$302,MATCH(A932,Products!$A$3:$A$302,0)),"Product not found"),K932-IF(L932="Percentage",ROUND(K932*N(M932)/100,2),IF(L932="Fixed amount",N(M932),0))))</f>
        <v/>
      </c>
      <c r="O932" s="17"/>
    </row>
    <row r="933" spans="1:15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8"/>
      <c r="L933" s="16"/>
      <c r="M933" s="16"/>
      <c r="N933" s="19" t="str">
        <f>IF(A933="","",IF(K933="",IFERROR(INDEX(Products!$S$3:$S$302,MATCH(A933,Products!$A$3:$A$302,0)),"Product not found"),K933-IF(L933="Percentage",ROUND(K933*N(M933)/100,2),IF(L933="Fixed amount",N(M933),0))))</f>
        <v/>
      </c>
      <c r="O933" s="17"/>
    </row>
    <row r="934" spans="1:15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8"/>
      <c r="L934" s="16"/>
      <c r="M934" s="16"/>
      <c r="N934" s="19" t="str">
        <f>IF(A934="","",IF(K934="",IFERROR(INDEX(Products!$S$3:$S$302,MATCH(A934,Products!$A$3:$A$302,0)),"Product not found"),K934-IF(L934="Percentage",ROUND(K934*N(M934)/100,2),IF(L934="Fixed amount",N(M934),0))))</f>
        <v/>
      </c>
      <c r="O934" s="17"/>
    </row>
    <row r="935" spans="1:15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8"/>
      <c r="L935" s="16"/>
      <c r="M935" s="16"/>
      <c r="N935" s="19" t="str">
        <f>IF(A935="","",IF(K935="",IFERROR(INDEX(Products!$S$3:$S$302,MATCH(A935,Products!$A$3:$A$302,0)),"Product not found"),K935-IF(L935="Percentage",ROUND(K935*N(M935)/100,2),IF(L935="Fixed amount",N(M935),0))))</f>
        <v/>
      </c>
      <c r="O935" s="17"/>
    </row>
    <row r="936" spans="1:15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8"/>
      <c r="L936" s="16"/>
      <c r="M936" s="16"/>
      <c r="N936" s="19" t="str">
        <f>IF(A936="","",IF(K936="",IFERROR(INDEX(Products!$S$3:$S$302,MATCH(A936,Products!$A$3:$A$302,0)),"Product not found"),K936-IF(L936="Percentage",ROUND(K936*N(M936)/100,2),IF(L936="Fixed amount",N(M936),0))))</f>
        <v/>
      </c>
      <c r="O936" s="17"/>
    </row>
    <row r="937" spans="1:15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8"/>
      <c r="L937" s="16"/>
      <c r="M937" s="16"/>
      <c r="N937" s="19" t="str">
        <f>IF(A937="","",IF(K937="",IFERROR(INDEX(Products!$S$3:$S$302,MATCH(A937,Products!$A$3:$A$302,0)),"Product not found"),K937-IF(L937="Percentage",ROUND(K937*N(M937)/100,2),IF(L937="Fixed amount",N(M937),0))))</f>
        <v/>
      </c>
      <c r="O937" s="17"/>
    </row>
    <row r="938" spans="1:15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8"/>
      <c r="L938" s="16"/>
      <c r="M938" s="16"/>
      <c r="N938" s="19" t="str">
        <f>IF(A938="","",IF(K938="",IFERROR(INDEX(Products!$S$3:$S$302,MATCH(A938,Products!$A$3:$A$302,0)),"Product not found"),K938-IF(L938="Percentage",ROUND(K938*N(M938)/100,2),IF(L938="Fixed amount",N(M938),0))))</f>
        <v/>
      </c>
      <c r="O938" s="17"/>
    </row>
    <row r="939" spans="1:15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8"/>
      <c r="L939" s="16"/>
      <c r="M939" s="16"/>
      <c r="N939" s="19" t="str">
        <f>IF(A939="","",IF(K939="",IFERROR(INDEX(Products!$S$3:$S$302,MATCH(A939,Products!$A$3:$A$302,0)),"Product not found"),K939-IF(L939="Percentage",ROUND(K939*N(M939)/100,2),IF(L939="Fixed amount",N(M939),0))))</f>
        <v/>
      </c>
      <c r="O939" s="17"/>
    </row>
    <row r="940" spans="1:15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8"/>
      <c r="L940" s="16"/>
      <c r="M940" s="16"/>
      <c r="N940" s="19" t="str">
        <f>IF(A940="","",IF(K940="",IFERROR(INDEX(Products!$S$3:$S$302,MATCH(A940,Products!$A$3:$A$302,0)),"Product not found"),K940-IF(L940="Percentage",ROUND(K940*N(M940)/100,2),IF(L940="Fixed amount",N(M940),0))))</f>
        <v/>
      </c>
      <c r="O940" s="17"/>
    </row>
    <row r="941" spans="1:15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8"/>
      <c r="L941" s="16"/>
      <c r="M941" s="16"/>
      <c r="N941" s="19" t="str">
        <f>IF(A941="","",IF(K941="",IFERROR(INDEX(Products!$S$3:$S$302,MATCH(A941,Products!$A$3:$A$302,0)),"Product not found"),K941-IF(L941="Percentage",ROUND(K941*N(M941)/100,2),IF(L941="Fixed amount",N(M941),0))))</f>
        <v/>
      </c>
      <c r="O941" s="17"/>
    </row>
    <row r="942" spans="1:15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8"/>
      <c r="L942" s="16"/>
      <c r="M942" s="16"/>
      <c r="N942" s="19" t="str">
        <f>IF(A942="","",IF(K942="",IFERROR(INDEX(Products!$S$3:$S$302,MATCH(A942,Products!$A$3:$A$302,0)),"Product not found"),K942-IF(L942="Percentage",ROUND(K942*N(M942)/100,2),IF(L942="Fixed amount",N(M942),0))))</f>
        <v/>
      </c>
      <c r="O942" s="17"/>
    </row>
    <row r="943" spans="1:15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8"/>
      <c r="L943" s="16"/>
      <c r="M943" s="16"/>
      <c r="N943" s="19" t="str">
        <f>IF(A943="","",IF(K943="",IFERROR(INDEX(Products!$S$3:$S$302,MATCH(A943,Products!$A$3:$A$302,0)),"Product not found"),K943-IF(L943="Percentage",ROUND(K943*N(M943)/100,2),IF(L943="Fixed amount",N(M943),0))))</f>
        <v/>
      </c>
      <c r="O943" s="17"/>
    </row>
    <row r="944" spans="1:15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8"/>
      <c r="L944" s="16"/>
      <c r="M944" s="16"/>
      <c r="N944" s="19" t="str">
        <f>IF(A944="","",IF(K944="",IFERROR(INDEX(Products!$S$3:$S$302,MATCH(A944,Products!$A$3:$A$302,0)),"Product not found"),K944-IF(L944="Percentage",ROUND(K944*N(M944)/100,2),IF(L944="Fixed amount",N(M944),0))))</f>
        <v/>
      </c>
      <c r="O944" s="17"/>
    </row>
    <row r="945" spans="1:15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8"/>
      <c r="L945" s="16"/>
      <c r="M945" s="16"/>
      <c r="N945" s="19" t="str">
        <f>IF(A945="","",IF(K945="",IFERROR(INDEX(Products!$S$3:$S$302,MATCH(A945,Products!$A$3:$A$302,0)),"Product not found"),K945-IF(L945="Percentage",ROUND(K945*N(M945)/100,2),IF(L945="Fixed amount",N(M945),0))))</f>
        <v/>
      </c>
      <c r="O945" s="17"/>
    </row>
    <row r="946" spans="1:15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8"/>
      <c r="L946" s="16"/>
      <c r="M946" s="16"/>
      <c r="N946" s="19" t="str">
        <f>IF(A946="","",IF(K946="",IFERROR(INDEX(Products!$S$3:$S$302,MATCH(A946,Products!$A$3:$A$302,0)),"Product not found"),K946-IF(L946="Percentage",ROUND(K946*N(M946)/100,2),IF(L946="Fixed amount",N(M946),0))))</f>
        <v/>
      </c>
      <c r="O946" s="17"/>
    </row>
    <row r="947" spans="1:15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8"/>
      <c r="L947" s="16"/>
      <c r="M947" s="16"/>
      <c r="N947" s="19" t="str">
        <f>IF(A947="","",IF(K947="",IFERROR(INDEX(Products!$S$3:$S$302,MATCH(A947,Products!$A$3:$A$302,0)),"Product not found"),K947-IF(L947="Percentage",ROUND(K947*N(M947)/100,2),IF(L947="Fixed amount",N(M947),0))))</f>
        <v/>
      </c>
      <c r="O947" s="17"/>
    </row>
    <row r="948" spans="1:15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8"/>
      <c r="L948" s="16"/>
      <c r="M948" s="16"/>
      <c r="N948" s="19" t="str">
        <f>IF(A948="","",IF(K948="",IFERROR(INDEX(Products!$S$3:$S$302,MATCH(A948,Products!$A$3:$A$302,0)),"Product not found"),K948-IF(L948="Percentage",ROUND(K948*N(M948)/100,2),IF(L948="Fixed amount",N(M948),0))))</f>
        <v/>
      </c>
      <c r="O948" s="17"/>
    </row>
    <row r="949" spans="1:15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8"/>
      <c r="L949" s="16"/>
      <c r="M949" s="16"/>
      <c r="N949" s="19" t="str">
        <f>IF(A949="","",IF(K949="",IFERROR(INDEX(Products!$S$3:$S$302,MATCH(A949,Products!$A$3:$A$302,0)),"Product not found"),K949-IF(L949="Percentage",ROUND(K949*N(M949)/100,2),IF(L949="Fixed amount",N(M949),0))))</f>
        <v/>
      </c>
      <c r="O949" s="17"/>
    </row>
    <row r="950" spans="1:15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8"/>
      <c r="L950" s="16"/>
      <c r="M950" s="16"/>
      <c r="N950" s="19" t="str">
        <f>IF(A950="","",IF(K950="",IFERROR(INDEX(Products!$S$3:$S$302,MATCH(A950,Products!$A$3:$A$302,0)),"Product not found"),K950-IF(L950="Percentage",ROUND(K950*N(M950)/100,2),IF(L950="Fixed amount",N(M950),0))))</f>
        <v/>
      </c>
      <c r="O950" s="17"/>
    </row>
    <row r="951" spans="1:15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8"/>
      <c r="L951" s="16"/>
      <c r="M951" s="16"/>
      <c r="N951" s="19" t="str">
        <f>IF(A951="","",IF(K951="",IFERROR(INDEX(Products!$S$3:$S$302,MATCH(A951,Products!$A$3:$A$302,0)),"Product not found"),K951-IF(L951="Percentage",ROUND(K951*N(M951)/100,2),IF(L951="Fixed amount",N(M951),0))))</f>
        <v/>
      </c>
      <c r="O951" s="17"/>
    </row>
    <row r="952" spans="1:15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8"/>
      <c r="L952" s="16"/>
      <c r="M952" s="16"/>
      <c r="N952" s="19" t="str">
        <f>IF(A952="","",IF(K952="",IFERROR(INDEX(Products!$S$3:$S$302,MATCH(A952,Products!$A$3:$A$302,0)),"Product not found"),K952-IF(L952="Percentage",ROUND(K952*N(M952)/100,2),IF(L952="Fixed amount",N(M952),0))))</f>
        <v/>
      </c>
      <c r="O952" s="17"/>
    </row>
    <row r="953" spans="1:15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8"/>
      <c r="L953" s="16"/>
      <c r="M953" s="16"/>
      <c r="N953" s="19" t="str">
        <f>IF(A953="","",IF(K953="",IFERROR(INDEX(Products!$S$3:$S$302,MATCH(A953,Products!$A$3:$A$302,0)),"Product not found"),K953-IF(L953="Percentage",ROUND(K953*N(M953)/100,2),IF(L953="Fixed amount",N(M953),0))))</f>
        <v/>
      </c>
      <c r="O953" s="17"/>
    </row>
    <row r="954" spans="1:15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8"/>
      <c r="L954" s="16"/>
      <c r="M954" s="16"/>
      <c r="N954" s="19" t="str">
        <f>IF(A954="","",IF(K954="",IFERROR(INDEX(Products!$S$3:$S$302,MATCH(A954,Products!$A$3:$A$302,0)),"Product not found"),K954-IF(L954="Percentage",ROUND(K954*N(M954)/100,2),IF(L954="Fixed amount",N(M954),0))))</f>
        <v/>
      </c>
      <c r="O954" s="17"/>
    </row>
    <row r="955" spans="1:15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8"/>
      <c r="L955" s="16"/>
      <c r="M955" s="16"/>
      <c r="N955" s="19" t="str">
        <f>IF(A955="","",IF(K955="",IFERROR(INDEX(Products!$S$3:$S$302,MATCH(A955,Products!$A$3:$A$302,0)),"Product not found"),K955-IF(L955="Percentage",ROUND(K955*N(M955)/100,2),IF(L955="Fixed amount",N(M955),0))))</f>
        <v/>
      </c>
      <c r="O955" s="17"/>
    </row>
    <row r="956" spans="1:15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8"/>
      <c r="L956" s="16"/>
      <c r="M956" s="16"/>
      <c r="N956" s="19" t="str">
        <f>IF(A956="","",IF(K956="",IFERROR(INDEX(Products!$S$3:$S$302,MATCH(A956,Products!$A$3:$A$302,0)),"Product not found"),K956-IF(L956="Percentage",ROUND(K956*N(M956)/100,2),IF(L956="Fixed amount",N(M956),0))))</f>
        <v/>
      </c>
      <c r="O956" s="17"/>
    </row>
    <row r="957" spans="1:15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8"/>
      <c r="L957" s="16"/>
      <c r="M957" s="16"/>
      <c r="N957" s="19" t="str">
        <f>IF(A957="","",IF(K957="",IFERROR(INDEX(Products!$S$3:$S$302,MATCH(A957,Products!$A$3:$A$302,0)),"Product not found"),K957-IF(L957="Percentage",ROUND(K957*N(M957)/100,2),IF(L957="Fixed amount",N(M957),0))))</f>
        <v/>
      </c>
      <c r="O957" s="17"/>
    </row>
    <row r="958" spans="1:15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8"/>
      <c r="L958" s="16"/>
      <c r="M958" s="16"/>
      <c r="N958" s="19" t="str">
        <f>IF(A958="","",IF(K958="",IFERROR(INDEX(Products!$S$3:$S$302,MATCH(A958,Products!$A$3:$A$302,0)),"Product not found"),K958-IF(L958="Percentage",ROUND(K958*N(M958)/100,2),IF(L958="Fixed amount",N(M958),0))))</f>
        <v/>
      </c>
      <c r="O958" s="17"/>
    </row>
    <row r="959" spans="1:15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8"/>
      <c r="L959" s="16"/>
      <c r="M959" s="16"/>
      <c r="N959" s="19" t="str">
        <f>IF(A959="","",IF(K959="",IFERROR(INDEX(Products!$S$3:$S$302,MATCH(A959,Products!$A$3:$A$302,0)),"Product not found"),K959-IF(L959="Percentage",ROUND(K959*N(M959)/100,2),IF(L959="Fixed amount",N(M959),0))))</f>
        <v/>
      </c>
      <c r="O959" s="17"/>
    </row>
    <row r="960" spans="1:15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8"/>
      <c r="L960" s="16"/>
      <c r="M960" s="16"/>
      <c r="N960" s="19" t="str">
        <f>IF(A960="","",IF(K960="",IFERROR(INDEX(Products!$S$3:$S$302,MATCH(A960,Products!$A$3:$A$302,0)),"Product not found"),K960-IF(L960="Percentage",ROUND(K960*N(M960)/100,2),IF(L960="Fixed amount",N(M960),0))))</f>
        <v/>
      </c>
      <c r="O960" s="17"/>
    </row>
    <row r="961" spans="1:15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8"/>
      <c r="L961" s="16"/>
      <c r="M961" s="16"/>
      <c r="N961" s="19" t="str">
        <f>IF(A961="","",IF(K961="",IFERROR(INDEX(Products!$S$3:$S$302,MATCH(A961,Products!$A$3:$A$302,0)),"Product not found"),K961-IF(L961="Percentage",ROUND(K961*N(M961)/100,2),IF(L961="Fixed amount",N(M961),0))))</f>
        <v/>
      </c>
      <c r="O961" s="17"/>
    </row>
    <row r="962" spans="1:15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8"/>
      <c r="L962" s="16"/>
      <c r="M962" s="16"/>
      <c r="N962" s="19" t="str">
        <f>IF(A962="","",IF(K962="",IFERROR(INDEX(Products!$S$3:$S$302,MATCH(A962,Products!$A$3:$A$302,0)),"Product not found"),K962-IF(L962="Percentage",ROUND(K962*N(M962)/100,2),IF(L962="Fixed amount",N(M962),0))))</f>
        <v/>
      </c>
      <c r="O962" s="17"/>
    </row>
    <row r="963" spans="1:15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8"/>
      <c r="L963" s="16"/>
      <c r="M963" s="16"/>
      <c r="N963" s="19" t="str">
        <f>IF(A963="","",IF(K963="",IFERROR(INDEX(Products!$S$3:$S$302,MATCH(A963,Products!$A$3:$A$302,0)),"Product not found"),K963-IF(L963="Percentage",ROUND(K963*N(M963)/100,2),IF(L963="Fixed amount",N(M963),0))))</f>
        <v/>
      </c>
      <c r="O963" s="17"/>
    </row>
    <row r="964" spans="1:15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8"/>
      <c r="L964" s="16"/>
      <c r="M964" s="16"/>
      <c r="N964" s="19" t="str">
        <f>IF(A964="","",IF(K964="",IFERROR(INDEX(Products!$S$3:$S$302,MATCH(A964,Products!$A$3:$A$302,0)),"Product not found"),K964-IF(L964="Percentage",ROUND(K964*N(M964)/100,2),IF(L964="Fixed amount",N(M964),0))))</f>
        <v/>
      </c>
      <c r="O964" s="17"/>
    </row>
    <row r="965" spans="1:15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8"/>
      <c r="L965" s="16"/>
      <c r="M965" s="16"/>
      <c r="N965" s="19" t="str">
        <f>IF(A965="","",IF(K965="",IFERROR(INDEX(Products!$S$3:$S$302,MATCH(A965,Products!$A$3:$A$302,0)),"Product not found"),K965-IF(L965="Percentage",ROUND(K965*N(M965)/100,2),IF(L965="Fixed amount",N(M965),0))))</f>
        <v/>
      </c>
      <c r="O965" s="17"/>
    </row>
    <row r="966" spans="1:15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8"/>
      <c r="L966" s="16"/>
      <c r="M966" s="16"/>
      <c r="N966" s="19" t="str">
        <f>IF(A966="","",IF(K966="",IFERROR(INDEX(Products!$S$3:$S$302,MATCH(A966,Products!$A$3:$A$302,0)),"Product not found"),K966-IF(L966="Percentage",ROUND(K966*N(M966)/100,2),IF(L966="Fixed amount",N(M966),0))))</f>
        <v/>
      </c>
      <c r="O966" s="17"/>
    </row>
    <row r="967" spans="1:15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8"/>
      <c r="L967" s="16"/>
      <c r="M967" s="16"/>
      <c r="N967" s="19" t="str">
        <f>IF(A967="","",IF(K967="",IFERROR(INDEX(Products!$S$3:$S$302,MATCH(A967,Products!$A$3:$A$302,0)),"Product not found"),K967-IF(L967="Percentage",ROUND(K967*N(M967)/100,2),IF(L967="Fixed amount",N(M967),0))))</f>
        <v/>
      </c>
      <c r="O967" s="17"/>
    </row>
    <row r="968" spans="1:15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8"/>
      <c r="L968" s="16"/>
      <c r="M968" s="16"/>
      <c r="N968" s="19" t="str">
        <f>IF(A968="","",IF(K968="",IFERROR(INDEX(Products!$S$3:$S$302,MATCH(A968,Products!$A$3:$A$302,0)),"Product not found"),K968-IF(L968="Percentage",ROUND(K968*N(M968)/100,2),IF(L968="Fixed amount",N(M968),0))))</f>
        <v/>
      </c>
      <c r="O968" s="17"/>
    </row>
    <row r="969" spans="1:15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8"/>
      <c r="L969" s="16"/>
      <c r="M969" s="16"/>
      <c r="N969" s="19" t="str">
        <f>IF(A969="","",IF(K969="",IFERROR(INDEX(Products!$S$3:$S$302,MATCH(A969,Products!$A$3:$A$302,0)),"Product not found"),K969-IF(L969="Percentage",ROUND(K969*N(M969)/100,2),IF(L969="Fixed amount",N(M969),0))))</f>
        <v/>
      </c>
      <c r="O969" s="17"/>
    </row>
    <row r="970" spans="1:15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8"/>
      <c r="L970" s="16"/>
      <c r="M970" s="16"/>
      <c r="N970" s="19" t="str">
        <f>IF(A970="","",IF(K970="",IFERROR(INDEX(Products!$S$3:$S$302,MATCH(A970,Products!$A$3:$A$302,0)),"Product not found"),K970-IF(L970="Percentage",ROUND(K970*N(M970)/100,2),IF(L970="Fixed amount",N(M970),0))))</f>
        <v/>
      </c>
      <c r="O970" s="17"/>
    </row>
    <row r="971" spans="1:15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8"/>
      <c r="L971" s="16"/>
      <c r="M971" s="16"/>
      <c r="N971" s="19" t="str">
        <f>IF(A971="","",IF(K971="",IFERROR(INDEX(Products!$S$3:$S$302,MATCH(A971,Products!$A$3:$A$302,0)),"Product not found"),K971-IF(L971="Percentage",ROUND(K971*N(M971)/100,2),IF(L971="Fixed amount",N(M971),0))))</f>
        <v/>
      </c>
      <c r="O971" s="17"/>
    </row>
    <row r="972" spans="1:15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8"/>
      <c r="L972" s="16"/>
      <c r="M972" s="16"/>
      <c r="N972" s="19" t="str">
        <f>IF(A972="","",IF(K972="",IFERROR(INDEX(Products!$S$3:$S$302,MATCH(A972,Products!$A$3:$A$302,0)),"Product not found"),K972-IF(L972="Percentage",ROUND(K972*N(M972)/100,2),IF(L972="Fixed amount",N(M972),0))))</f>
        <v/>
      </c>
      <c r="O972" s="17"/>
    </row>
    <row r="973" spans="1:15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8"/>
      <c r="L973" s="16"/>
      <c r="M973" s="16"/>
      <c r="N973" s="19" t="str">
        <f>IF(A973="","",IF(K973="",IFERROR(INDEX(Products!$S$3:$S$302,MATCH(A973,Products!$A$3:$A$302,0)),"Product not found"),K973-IF(L973="Percentage",ROUND(K973*N(M973)/100,2),IF(L973="Fixed amount",N(M973),0))))</f>
        <v/>
      </c>
      <c r="O973" s="17"/>
    </row>
    <row r="974" spans="1:15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8"/>
      <c r="L974" s="16"/>
      <c r="M974" s="16"/>
      <c r="N974" s="19" t="str">
        <f>IF(A974="","",IF(K974="",IFERROR(INDEX(Products!$S$3:$S$302,MATCH(A974,Products!$A$3:$A$302,0)),"Product not found"),K974-IF(L974="Percentage",ROUND(K974*N(M974)/100,2),IF(L974="Fixed amount",N(M974),0))))</f>
        <v/>
      </c>
      <c r="O974" s="17"/>
    </row>
    <row r="975" spans="1:15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8"/>
      <c r="L975" s="16"/>
      <c r="M975" s="16"/>
      <c r="N975" s="19" t="str">
        <f>IF(A975="","",IF(K975="",IFERROR(INDEX(Products!$S$3:$S$302,MATCH(A975,Products!$A$3:$A$302,0)),"Product not found"),K975-IF(L975="Percentage",ROUND(K975*N(M975)/100,2),IF(L975="Fixed amount",N(M975),0))))</f>
        <v/>
      </c>
      <c r="O975" s="17"/>
    </row>
    <row r="976" spans="1:15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8"/>
      <c r="L976" s="16"/>
      <c r="M976" s="16"/>
      <c r="N976" s="19" t="str">
        <f>IF(A976="","",IF(K976="",IFERROR(INDEX(Products!$S$3:$S$302,MATCH(A976,Products!$A$3:$A$302,0)),"Product not found"),K976-IF(L976="Percentage",ROUND(K976*N(M976)/100,2),IF(L976="Fixed amount",N(M976),0))))</f>
        <v/>
      </c>
      <c r="O976" s="17"/>
    </row>
    <row r="977" spans="1:15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8"/>
      <c r="L977" s="16"/>
      <c r="M977" s="16"/>
      <c r="N977" s="19" t="str">
        <f>IF(A977="","",IF(K977="",IFERROR(INDEX(Products!$S$3:$S$302,MATCH(A977,Products!$A$3:$A$302,0)),"Product not found"),K977-IF(L977="Percentage",ROUND(K977*N(M977)/100,2),IF(L977="Fixed amount",N(M977),0))))</f>
        <v/>
      </c>
      <c r="O977" s="17"/>
    </row>
    <row r="978" spans="1:15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8"/>
      <c r="L978" s="16"/>
      <c r="M978" s="16"/>
      <c r="N978" s="19" t="str">
        <f>IF(A978="","",IF(K978="",IFERROR(INDEX(Products!$S$3:$S$302,MATCH(A978,Products!$A$3:$A$302,0)),"Product not found"),K978-IF(L978="Percentage",ROUND(K978*N(M978)/100,2),IF(L978="Fixed amount",N(M978),0))))</f>
        <v/>
      </c>
      <c r="O978" s="17"/>
    </row>
    <row r="979" spans="1:15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8"/>
      <c r="L979" s="16"/>
      <c r="M979" s="16"/>
      <c r="N979" s="19" t="str">
        <f>IF(A979="","",IF(K979="",IFERROR(INDEX(Products!$S$3:$S$302,MATCH(A979,Products!$A$3:$A$302,0)),"Product not found"),K979-IF(L979="Percentage",ROUND(K979*N(M979)/100,2),IF(L979="Fixed amount",N(M979),0))))</f>
        <v/>
      </c>
      <c r="O979" s="17"/>
    </row>
    <row r="980" spans="1:15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8"/>
      <c r="L980" s="16"/>
      <c r="M980" s="16"/>
      <c r="N980" s="19" t="str">
        <f>IF(A980="","",IF(K980="",IFERROR(INDEX(Products!$S$3:$S$302,MATCH(A980,Products!$A$3:$A$302,0)),"Product not found"),K980-IF(L980="Percentage",ROUND(K980*N(M980)/100,2),IF(L980="Fixed amount",N(M980),0))))</f>
        <v/>
      </c>
      <c r="O980" s="17"/>
    </row>
    <row r="981" spans="1:15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8"/>
      <c r="L981" s="16"/>
      <c r="M981" s="16"/>
      <c r="N981" s="19" t="str">
        <f>IF(A981="","",IF(K981="",IFERROR(INDEX(Products!$S$3:$S$302,MATCH(A981,Products!$A$3:$A$302,0)),"Product not found"),K981-IF(L981="Percentage",ROUND(K981*N(M981)/100,2),IF(L981="Fixed amount",N(M981),0))))</f>
        <v/>
      </c>
      <c r="O981" s="17"/>
    </row>
    <row r="982" spans="1:15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8"/>
      <c r="L982" s="16"/>
      <c r="M982" s="16"/>
      <c r="N982" s="19" t="str">
        <f>IF(A982="","",IF(K982="",IFERROR(INDEX(Products!$S$3:$S$302,MATCH(A982,Products!$A$3:$A$302,0)),"Product not found"),K982-IF(L982="Percentage",ROUND(K982*N(M982)/100,2),IF(L982="Fixed amount",N(M982),0))))</f>
        <v/>
      </c>
      <c r="O982" s="17"/>
    </row>
    <row r="983" spans="1:15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8"/>
      <c r="L983" s="16"/>
      <c r="M983" s="16"/>
      <c r="N983" s="19" t="str">
        <f>IF(A983="","",IF(K983="",IFERROR(INDEX(Products!$S$3:$S$302,MATCH(A983,Products!$A$3:$A$302,0)),"Product not found"),K983-IF(L983="Percentage",ROUND(K983*N(M983)/100,2),IF(L983="Fixed amount",N(M983),0))))</f>
        <v/>
      </c>
      <c r="O983" s="17"/>
    </row>
    <row r="984" spans="1:15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8"/>
      <c r="L984" s="16"/>
      <c r="M984" s="16"/>
      <c r="N984" s="19" t="str">
        <f>IF(A984="","",IF(K984="",IFERROR(INDEX(Products!$S$3:$S$302,MATCH(A984,Products!$A$3:$A$302,0)),"Product not found"),K984-IF(L984="Percentage",ROUND(K984*N(M984)/100,2),IF(L984="Fixed amount",N(M984),0))))</f>
        <v/>
      </c>
      <c r="O984" s="17"/>
    </row>
    <row r="985" spans="1:15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8"/>
      <c r="L985" s="16"/>
      <c r="M985" s="16"/>
      <c r="N985" s="19" t="str">
        <f>IF(A985="","",IF(K985="",IFERROR(INDEX(Products!$S$3:$S$302,MATCH(A985,Products!$A$3:$A$302,0)),"Product not found"),K985-IF(L985="Percentage",ROUND(K985*N(M985)/100,2),IF(L985="Fixed amount",N(M985),0))))</f>
        <v/>
      </c>
      <c r="O985" s="17"/>
    </row>
    <row r="986" spans="1:15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8"/>
      <c r="L986" s="16"/>
      <c r="M986" s="16"/>
      <c r="N986" s="19" t="str">
        <f>IF(A986="","",IF(K986="",IFERROR(INDEX(Products!$S$3:$S$302,MATCH(A986,Products!$A$3:$A$302,0)),"Product not found"),K986-IF(L986="Percentage",ROUND(K986*N(M986)/100,2),IF(L986="Fixed amount",N(M986),0))))</f>
        <v/>
      </c>
      <c r="O986" s="17"/>
    </row>
    <row r="987" spans="1:15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8"/>
      <c r="L987" s="16"/>
      <c r="M987" s="16"/>
      <c r="N987" s="19" t="str">
        <f>IF(A987="","",IF(K987="",IFERROR(INDEX(Products!$S$3:$S$302,MATCH(A987,Products!$A$3:$A$302,0)),"Product not found"),K987-IF(L987="Percentage",ROUND(K987*N(M987)/100,2),IF(L987="Fixed amount",N(M987),0))))</f>
        <v/>
      </c>
      <c r="O987" s="17"/>
    </row>
    <row r="988" spans="1:15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8"/>
      <c r="L988" s="16"/>
      <c r="M988" s="16"/>
      <c r="N988" s="19" t="str">
        <f>IF(A988="","",IF(K988="",IFERROR(INDEX(Products!$S$3:$S$302,MATCH(A988,Products!$A$3:$A$302,0)),"Product not found"),K988-IF(L988="Percentage",ROUND(K988*N(M988)/100,2),IF(L988="Fixed amount",N(M988),0))))</f>
        <v/>
      </c>
      <c r="O988" s="17"/>
    </row>
    <row r="989" spans="1:15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8"/>
      <c r="L989" s="16"/>
      <c r="M989" s="16"/>
      <c r="N989" s="19" t="str">
        <f>IF(A989="","",IF(K989="",IFERROR(INDEX(Products!$S$3:$S$302,MATCH(A989,Products!$A$3:$A$302,0)),"Product not found"),K989-IF(L989="Percentage",ROUND(K989*N(M989)/100,2),IF(L989="Fixed amount",N(M989),0))))</f>
        <v/>
      </c>
      <c r="O989" s="17"/>
    </row>
    <row r="990" spans="1:15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8"/>
      <c r="L990" s="16"/>
      <c r="M990" s="16"/>
      <c r="N990" s="19" t="str">
        <f>IF(A990="","",IF(K990="",IFERROR(INDEX(Products!$S$3:$S$302,MATCH(A990,Products!$A$3:$A$302,0)),"Product not found"),K990-IF(L990="Percentage",ROUND(K990*N(M990)/100,2),IF(L990="Fixed amount",N(M990),0))))</f>
        <v/>
      </c>
      <c r="O990" s="17"/>
    </row>
    <row r="991" spans="1:15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8"/>
      <c r="L991" s="16"/>
      <c r="M991" s="16"/>
      <c r="N991" s="19" t="str">
        <f>IF(A991="","",IF(K991="",IFERROR(INDEX(Products!$S$3:$S$302,MATCH(A991,Products!$A$3:$A$302,0)),"Product not found"),K991-IF(L991="Percentage",ROUND(K991*N(M991)/100,2),IF(L991="Fixed amount",N(M991),0))))</f>
        <v/>
      </c>
      <c r="O991" s="17"/>
    </row>
    <row r="992" spans="1:15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8"/>
      <c r="L992" s="16"/>
      <c r="M992" s="16"/>
      <c r="N992" s="19" t="str">
        <f>IF(A992="","",IF(K992="",IFERROR(INDEX(Products!$S$3:$S$302,MATCH(A992,Products!$A$3:$A$302,0)),"Product not found"),K992-IF(L992="Percentage",ROUND(K992*N(M992)/100,2),IF(L992="Fixed amount",N(M992),0))))</f>
        <v/>
      </c>
      <c r="O992" s="17"/>
    </row>
    <row r="993" spans="1:15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8"/>
      <c r="L993" s="16"/>
      <c r="M993" s="16"/>
      <c r="N993" s="19" t="str">
        <f>IF(A993="","",IF(K993="",IFERROR(INDEX(Products!$S$3:$S$302,MATCH(A993,Products!$A$3:$A$302,0)),"Product not found"),K993-IF(L993="Percentage",ROUND(K993*N(M993)/100,2),IF(L993="Fixed amount",N(M993),0))))</f>
        <v/>
      </c>
      <c r="O993" s="17"/>
    </row>
    <row r="994" spans="1:15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8"/>
      <c r="L994" s="16"/>
      <c r="M994" s="16"/>
      <c r="N994" s="19" t="str">
        <f>IF(A994="","",IF(K994="",IFERROR(INDEX(Products!$S$3:$S$302,MATCH(A994,Products!$A$3:$A$302,0)),"Product not found"),K994-IF(L994="Percentage",ROUND(K994*N(M994)/100,2),IF(L994="Fixed amount",N(M994),0))))</f>
        <v/>
      </c>
      <c r="O994" s="17"/>
    </row>
    <row r="995" spans="1:15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8"/>
      <c r="L995" s="16"/>
      <c r="M995" s="16"/>
      <c r="N995" s="19" t="str">
        <f>IF(A995="","",IF(K995="",IFERROR(INDEX(Products!$S$3:$S$302,MATCH(A995,Products!$A$3:$A$302,0)),"Product not found"),K995-IF(L995="Percentage",ROUND(K995*N(M995)/100,2),IF(L995="Fixed amount",N(M995),0))))</f>
        <v/>
      </c>
      <c r="O995" s="17"/>
    </row>
    <row r="996" spans="1:15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8"/>
      <c r="L996" s="16"/>
      <c r="M996" s="16"/>
      <c r="N996" s="19" t="str">
        <f>IF(A996="","",IF(K996="",IFERROR(INDEX(Products!$S$3:$S$302,MATCH(A996,Products!$A$3:$A$302,0)),"Product not found"),K996-IF(L996="Percentage",ROUND(K996*N(M996)/100,2),IF(L996="Fixed amount",N(M996),0))))</f>
        <v/>
      </c>
      <c r="O996" s="17"/>
    </row>
    <row r="997" spans="1:15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8"/>
      <c r="L997" s="16"/>
      <c r="M997" s="16"/>
      <c r="N997" s="19" t="str">
        <f>IF(A997="","",IF(K997="",IFERROR(INDEX(Products!$S$3:$S$302,MATCH(A997,Products!$A$3:$A$302,0)),"Product not found"),K997-IF(L997="Percentage",ROUND(K997*N(M997)/100,2),IF(L997="Fixed amount",N(M997),0))))</f>
        <v/>
      </c>
      <c r="O997" s="17"/>
    </row>
    <row r="998" spans="1:15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8"/>
      <c r="L998" s="16"/>
      <c r="M998" s="16"/>
      <c r="N998" s="19" t="str">
        <f>IF(A998="","",IF(K998="",IFERROR(INDEX(Products!$S$3:$S$302,MATCH(A998,Products!$A$3:$A$302,0)),"Product not found"),K998-IF(L998="Percentage",ROUND(K998*N(M998)/100,2),IF(L998="Fixed amount",N(M998),0))))</f>
        <v/>
      </c>
      <c r="O998" s="17"/>
    </row>
    <row r="999" spans="1:15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8"/>
      <c r="L999" s="16"/>
      <c r="M999" s="16"/>
      <c r="N999" s="19" t="str">
        <f>IF(A999="","",IF(K999="",IFERROR(INDEX(Products!$S$3:$S$302,MATCH(A999,Products!$A$3:$A$302,0)),"Product not found"),K999-IF(L999="Percentage",ROUND(K999*N(M999)/100,2),IF(L999="Fixed amount",N(M999),0))))</f>
        <v/>
      </c>
      <c r="O999" s="17"/>
    </row>
    <row r="1000" spans="1:15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8"/>
      <c r="L1000" s="16"/>
      <c r="M1000" s="16"/>
      <c r="N1000" s="19" t="str">
        <f>IF(A1000="","",IF(K1000="",IFERROR(INDEX(Products!$S$3:$S$302,MATCH(A1000,Products!$A$3:$A$302,0)),"Product not found"),K1000-IF(L1000="Percentage",ROUND(K1000*N(M1000)/100,2),IF(L1000="Fixed amount",N(M1000),0))))</f>
        <v/>
      </c>
      <c r="O1000" s="17"/>
    </row>
    <row r="1001" spans="1:15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8"/>
      <c r="L1001" s="16"/>
      <c r="M1001" s="16"/>
      <c r="N1001" s="19" t="str">
        <f>IF(A1001="","",IF(K1001="",IFERROR(INDEX(Products!$S$3:$S$302,MATCH(A1001,Products!$A$3:$A$302,0)),"Product not found"),K1001-IF(L1001="Percentage",ROUND(K1001*N(M1001)/100,2),IF(L1001="Fixed amount",N(M1001),0))))</f>
        <v/>
      </c>
      <c r="O1001" s="17"/>
    </row>
    <row r="1002" spans="1:15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8"/>
      <c r="L1002" s="16"/>
      <c r="M1002" s="16"/>
      <c r="N1002" s="19" t="str">
        <f>IF(A1002="","",IF(K1002="",IFERROR(INDEX(Products!$S$3:$S$302,MATCH(A1002,Products!$A$3:$A$302,0)),"Product not found"),K1002-IF(L1002="Percentage",ROUND(K1002*N(M1002)/100,2),IF(L1002="Fixed amount",N(M1002),0))))</f>
        <v/>
      </c>
      <c r="O1002" s="17"/>
    </row>
    <row r="1003" spans="1:15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8"/>
      <c r="L1003" s="16"/>
      <c r="M1003" s="16"/>
      <c r="N1003" s="19" t="str">
        <f>IF(A1003="","",IF(K1003="",IFERROR(INDEX(Products!$S$3:$S$302,MATCH(A1003,Products!$A$3:$A$302,0)),"Product not found"),K1003-IF(L1003="Percentage",ROUND(K1003*N(M1003)/100,2),IF(L1003="Fixed amount",N(M1003),0))))</f>
        <v/>
      </c>
      <c r="O1003" s="17"/>
    </row>
    <row r="1004" spans="1:15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8"/>
      <c r="L1004" s="16"/>
      <c r="M1004" s="16"/>
      <c r="N1004" s="19" t="str">
        <f>IF(A1004="","",IF(K1004="",IFERROR(INDEX(Products!$S$3:$S$302,MATCH(A1004,Products!$A$3:$A$302,0)),"Product not found"),K1004-IF(L1004="Percentage",ROUND(K1004*N(M1004)/100,2),IF(L1004="Fixed amount",N(M1004),0))))</f>
        <v/>
      </c>
      <c r="O1004" s="17"/>
    </row>
    <row r="1005" spans="1:15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8"/>
      <c r="L1005" s="16"/>
      <c r="M1005" s="16"/>
      <c r="N1005" s="19" t="str">
        <f>IF(A1005="","",IF(K1005="",IFERROR(INDEX(Products!$S$3:$S$302,MATCH(A1005,Products!$A$3:$A$302,0)),"Product not found"),K1005-IF(L1005="Percentage",ROUND(K1005*N(M1005)/100,2),IF(L1005="Fixed amount",N(M1005),0))))</f>
        <v/>
      </c>
      <c r="O1005" s="17"/>
    </row>
    <row r="1006" spans="1:15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8"/>
      <c r="L1006" s="16"/>
      <c r="M1006" s="16"/>
      <c r="N1006" s="19" t="str">
        <f>IF(A1006="","",IF(K1006="",IFERROR(INDEX(Products!$S$3:$S$302,MATCH(A1006,Products!$A$3:$A$302,0)),"Product not found"),K1006-IF(L1006="Percentage",ROUND(K1006*N(M1006)/100,2),IF(L1006="Fixed amount",N(M1006),0))))</f>
        <v/>
      </c>
      <c r="O1006" s="17"/>
    </row>
    <row r="1007" spans="1:15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8"/>
      <c r="L1007" s="16"/>
      <c r="M1007" s="16"/>
      <c r="N1007" s="19" t="str">
        <f>IF(A1007="","",IF(K1007="",IFERROR(INDEX(Products!$S$3:$S$302,MATCH(A1007,Products!$A$3:$A$302,0)),"Product not found"),K1007-IF(L1007="Percentage",ROUND(K1007*N(M1007)/100,2),IF(L1007="Fixed amount",N(M1007),0))))</f>
        <v/>
      </c>
      <c r="O1007" s="17"/>
    </row>
    <row r="1008" spans="1:15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8"/>
      <c r="L1008" s="16"/>
      <c r="M1008" s="16"/>
      <c r="N1008" s="19" t="str">
        <f>IF(A1008="","",IF(K1008="",IFERROR(INDEX(Products!$S$3:$S$302,MATCH(A1008,Products!$A$3:$A$302,0)),"Product not found"),K1008-IF(L1008="Percentage",ROUND(K1008*N(M1008)/100,2),IF(L1008="Fixed amount",N(M1008),0))))</f>
        <v/>
      </c>
      <c r="O1008" s="17"/>
    </row>
    <row r="1009" spans="1:15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8"/>
      <c r="L1009" s="16"/>
      <c r="M1009" s="16"/>
      <c r="N1009" s="19" t="str">
        <f>IF(A1009="","",IF(K1009="",IFERROR(INDEX(Products!$S$3:$S$302,MATCH(A1009,Products!$A$3:$A$302,0)),"Product not found"),K1009-IF(L1009="Percentage",ROUND(K1009*N(M1009)/100,2),IF(L1009="Fixed amount",N(M1009),0))))</f>
        <v/>
      </c>
      <c r="O1009" s="17"/>
    </row>
    <row r="1010" spans="1:15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8"/>
      <c r="L1010" s="16"/>
      <c r="M1010" s="16"/>
      <c r="N1010" s="19" t="str">
        <f>IF(A1010="","",IF(K1010="",IFERROR(INDEX(Products!$S$3:$S$302,MATCH(A1010,Products!$A$3:$A$302,0)),"Product not found"),K1010-IF(L1010="Percentage",ROUND(K1010*N(M1010)/100,2),IF(L1010="Fixed amount",N(M1010),0))))</f>
        <v/>
      </c>
      <c r="O1010" s="17"/>
    </row>
    <row r="1011" spans="1:15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8"/>
      <c r="L1011" s="16"/>
      <c r="M1011" s="16"/>
      <c r="N1011" s="19" t="str">
        <f>IF(A1011="","",IF(K1011="",IFERROR(INDEX(Products!$S$3:$S$302,MATCH(A1011,Products!$A$3:$A$302,0)),"Product not found"),K1011-IF(L1011="Percentage",ROUND(K1011*N(M1011)/100,2),IF(L1011="Fixed amount",N(M1011),0))))</f>
        <v/>
      </c>
      <c r="O1011" s="17"/>
    </row>
    <row r="1012" spans="1:15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8"/>
      <c r="L1012" s="16"/>
      <c r="M1012" s="16"/>
      <c r="N1012" s="19" t="str">
        <f>IF(A1012="","",IF(K1012="",IFERROR(INDEX(Products!$S$3:$S$302,MATCH(A1012,Products!$A$3:$A$302,0)),"Product not found"),K1012-IF(L1012="Percentage",ROUND(K1012*N(M1012)/100,2),IF(L1012="Fixed amount",N(M1012),0))))</f>
        <v/>
      </c>
      <c r="O1012" s="17"/>
    </row>
    <row r="1013" spans="1:15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8"/>
      <c r="L1013" s="16"/>
      <c r="M1013" s="16"/>
      <c r="N1013" s="19" t="str">
        <f>IF(A1013="","",IF(K1013="",IFERROR(INDEX(Products!$S$3:$S$302,MATCH(A1013,Products!$A$3:$A$302,0)),"Product not found"),K1013-IF(L1013="Percentage",ROUND(K1013*N(M1013)/100,2),IF(L1013="Fixed amount",N(M1013),0))))</f>
        <v/>
      </c>
      <c r="O1013" s="17"/>
    </row>
    <row r="1014" spans="1:15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8"/>
      <c r="L1014" s="16"/>
      <c r="M1014" s="16"/>
      <c r="N1014" s="19" t="str">
        <f>IF(A1014="","",IF(K1014="",IFERROR(INDEX(Products!$S$3:$S$302,MATCH(A1014,Products!$A$3:$A$302,0)),"Product not found"),K1014-IF(L1014="Percentage",ROUND(K1014*N(M1014)/100,2),IF(L1014="Fixed amount",N(M1014),0))))</f>
        <v/>
      </c>
      <c r="O1014" s="17"/>
    </row>
    <row r="1015" spans="1:15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8"/>
      <c r="L1015" s="16"/>
      <c r="M1015" s="16"/>
      <c r="N1015" s="19" t="str">
        <f>IF(A1015="","",IF(K1015="",IFERROR(INDEX(Products!$S$3:$S$302,MATCH(A1015,Products!$A$3:$A$302,0)),"Product not found"),K1015-IF(L1015="Percentage",ROUND(K1015*N(M1015)/100,2),IF(L1015="Fixed amount",N(M1015),0))))</f>
        <v/>
      </c>
      <c r="O1015" s="17"/>
    </row>
    <row r="1016" spans="1:15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8"/>
      <c r="L1016" s="16"/>
      <c r="M1016" s="16"/>
      <c r="N1016" s="19" t="str">
        <f>IF(A1016="","",IF(K1016="",IFERROR(INDEX(Products!$S$3:$S$302,MATCH(A1016,Products!$A$3:$A$302,0)),"Product not found"),K1016-IF(L1016="Percentage",ROUND(K1016*N(M1016)/100,2),IF(L1016="Fixed amount",N(M1016),0))))</f>
        <v/>
      </c>
      <c r="O1016" s="17"/>
    </row>
    <row r="1017" spans="1:15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8"/>
      <c r="L1017" s="16"/>
      <c r="M1017" s="16"/>
      <c r="N1017" s="19" t="str">
        <f>IF(A1017="","",IF(K1017="",IFERROR(INDEX(Products!$S$3:$S$302,MATCH(A1017,Products!$A$3:$A$302,0)),"Product not found"),K1017-IF(L1017="Percentage",ROUND(K1017*N(M1017)/100,2),IF(L1017="Fixed amount",N(M1017),0))))</f>
        <v/>
      </c>
      <c r="O1017" s="17"/>
    </row>
    <row r="1018" spans="1:15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8"/>
      <c r="L1018" s="16"/>
      <c r="M1018" s="16"/>
      <c r="N1018" s="19" t="str">
        <f>IF(A1018="","",IF(K1018="",IFERROR(INDEX(Products!$S$3:$S$302,MATCH(A1018,Products!$A$3:$A$302,0)),"Product not found"),K1018-IF(L1018="Percentage",ROUND(K1018*N(M1018)/100,2),IF(L1018="Fixed amount",N(M1018),0))))</f>
        <v/>
      </c>
      <c r="O1018" s="17"/>
    </row>
    <row r="1019" spans="1:15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8"/>
      <c r="L1019" s="16"/>
      <c r="M1019" s="16"/>
      <c r="N1019" s="19" t="str">
        <f>IF(A1019="","",IF(K1019="",IFERROR(INDEX(Products!$S$3:$S$302,MATCH(A1019,Products!$A$3:$A$302,0)),"Product not found"),K1019-IF(L1019="Percentage",ROUND(K1019*N(M1019)/100,2),IF(L1019="Fixed amount",N(M1019),0))))</f>
        <v/>
      </c>
      <c r="O1019" s="17"/>
    </row>
    <row r="1020" spans="1:15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8"/>
      <c r="L1020" s="16"/>
      <c r="M1020" s="16"/>
      <c r="N1020" s="19" t="str">
        <f>IF(A1020="","",IF(K1020="",IFERROR(INDEX(Products!$S$3:$S$302,MATCH(A1020,Products!$A$3:$A$302,0)),"Product not found"),K1020-IF(L1020="Percentage",ROUND(K1020*N(M1020)/100,2),IF(L1020="Fixed amount",N(M1020),0))))</f>
        <v/>
      </c>
      <c r="O1020" s="17"/>
    </row>
    <row r="1021" spans="1:15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8"/>
      <c r="L1021" s="16"/>
      <c r="M1021" s="16"/>
      <c r="N1021" s="19" t="str">
        <f>IF(A1021="","",IF(K1021="",IFERROR(INDEX(Products!$S$3:$S$302,MATCH(A1021,Products!$A$3:$A$302,0)),"Product not found"),K1021-IF(L1021="Percentage",ROUND(K1021*N(M1021)/100,2),IF(L1021="Fixed amount",N(M1021),0))))</f>
        <v/>
      </c>
      <c r="O1021" s="17"/>
    </row>
    <row r="1022" spans="1:15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8"/>
      <c r="L1022" s="16"/>
      <c r="M1022" s="16"/>
      <c r="N1022" s="19" t="str">
        <f>IF(A1022="","",IF(K1022="",IFERROR(INDEX(Products!$S$3:$S$302,MATCH(A1022,Products!$A$3:$A$302,0)),"Product not found"),K1022-IF(L1022="Percentage",ROUND(K1022*N(M1022)/100,2),IF(L1022="Fixed amount",N(M1022),0))))</f>
        <v/>
      </c>
      <c r="O1022" s="17"/>
    </row>
    <row r="1023" spans="1:15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8"/>
      <c r="L1023" s="16"/>
      <c r="M1023" s="16"/>
      <c r="N1023" s="19" t="str">
        <f>IF(A1023="","",IF(K1023="",IFERROR(INDEX(Products!$S$3:$S$302,MATCH(A1023,Products!$A$3:$A$302,0)),"Product not found"),K1023-IF(L1023="Percentage",ROUND(K1023*N(M1023)/100,2),IF(L1023="Fixed amount",N(M1023),0))))</f>
        <v/>
      </c>
      <c r="O1023" s="17"/>
    </row>
    <row r="1024" spans="1:15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8"/>
      <c r="L1024" s="16"/>
      <c r="M1024" s="16"/>
      <c r="N1024" s="19" t="str">
        <f>IF(A1024="","",IF(K1024="",IFERROR(INDEX(Products!$S$3:$S$302,MATCH(A1024,Products!$A$3:$A$302,0)),"Product not found"),K1024-IF(L1024="Percentage",ROUND(K1024*N(M1024)/100,2),IF(L1024="Fixed amount",N(M1024),0))))</f>
        <v/>
      </c>
      <c r="O1024" s="17"/>
    </row>
    <row r="1025" spans="1:15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8"/>
      <c r="L1025" s="16"/>
      <c r="M1025" s="16"/>
      <c r="N1025" s="19" t="str">
        <f>IF(A1025="","",IF(K1025="",IFERROR(INDEX(Products!$S$3:$S$302,MATCH(A1025,Products!$A$3:$A$302,0)),"Product not found"),K1025-IF(L1025="Percentage",ROUND(K1025*N(M1025)/100,2),IF(L1025="Fixed amount",N(M1025),0))))</f>
        <v/>
      </c>
      <c r="O1025" s="17"/>
    </row>
    <row r="1026" spans="1:15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8"/>
      <c r="L1026" s="16"/>
      <c r="M1026" s="16"/>
      <c r="N1026" s="19" t="str">
        <f>IF(A1026="","",IF(K1026="",IFERROR(INDEX(Products!$S$3:$S$302,MATCH(A1026,Products!$A$3:$A$302,0)),"Product not found"),K1026-IF(L1026="Percentage",ROUND(K1026*N(M1026)/100,2),IF(L1026="Fixed amount",N(M1026),0))))</f>
        <v/>
      </c>
      <c r="O1026" s="17"/>
    </row>
    <row r="1027" spans="1:15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8"/>
      <c r="L1027" s="16"/>
      <c r="M1027" s="16"/>
      <c r="N1027" s="19" t="str">
        <f>IF(A1027="","",IF(K1027="",IFERROR(INDEX(Products!$S$3:$S$302,MATCH(A1027,Products!$A$3:$A$302,0)),"Product not found"),K1027-IF(L1027="Percentage",ROUND(K1027*N(M1027)/100,2),IF(L1027="Fixed amount",N(M1027),0))))</f>
        <v/>
      </c>
      <c r="O1027" s="17"/>
    </row>
    <row r="1028" spans="1:15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8"/>
      <c r="L1028" s="16"/>
      <c r="M1028" s="16"/>
      <c r="N1028" s="19" t="str">
        <f>IF(A1028="","",IF(K1028="",IFERROR(INDEX(Products!$S$3:$S$302,MATCH(A1028,Products!$A$3:$A$302,0)),"Product not found"),K1028-IF(L1028="Percentage",ROUND(K1028*N(M1028)/100,2),IF(L1028="Fixed amount",N(M1028),0))))</f>
        <v/>
      </c>
      <c r="O1028" s="17"/>
    </row>
    <row r="1029" spans="1:15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8"/>
      <c r="L1029" s="16"/>
      <c r="M1029" s="16"/>
      <c r="N1029" s="19" t="str">
        <f>IF(A1029="","",IF(K1029="",IFERROR(INDEX(Products!$S$3:$S$302,MATCH(A1029,Products!$A$3:$A$302,0)),"Product not found"),K1029-IF(L1029="Percentage",ROUND(K1029*N(M1029)/100,2),IF(L1029="Fixed amount",N(M1029),0))))</f>
        <v/>
      </c>
      <c r="O1029" s="17"/>
    </row>
    <row r="1030" spans="1:15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8"/>
      <c r="L1030" s="16"/>
      <c r="M1030" s="16"/>
      <c r="N1030" s="19" t="str">
        <f>IF(A1030="","",IF(K1030="",IFERROR(INDEX(Products!$S$3:$S$302,MATCH(A1030,Products!$A$3:$A$302,0)),"Product not found"),K1030-IF(L1030="Percentage",ROUND(K1030*N(M1030)/100,2),IF(L1030="Fixed amount",N(M1030),0))))</f>
        <v/>
      </c>
      <c r="O1030" s="17"/>
    </row>
    <row r="1031" spans="1:15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8"/>
      <c r="L1031" s="16"/>
      <c r="M1031" s="16"/>
      <c r="N1031" s="19" t="str">
        <f>IF(A1031="","",IF(K1031="",IFERROR(INDEX(Products!$S$3:$S$302,MATCH(A1031,Products!$A$3:$A$302,0)),"Product not found"),K1031-IF(L1031="Percentage",ROUND(K1031*N(M1031)/100,2),IF(L1031="Fixed amount",N(M1031),0))))</f>
        <v/>
      </c>
      <c r="O1031" s="17"/>
    </row>
    <row r="1032" spans="1:15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8"/>
      <c r="L1032" s="16"/>
      <c r="M1032" s="16"/>
      <c r="N1032" s="19" t="str">
        <f>IF(A1032="","",IF(K1032="",IFERROR(INDEX(Products!$S$3:$S$302,MATCH(A1032,Products!$A$3:$A$302,0)),"Product not found"),K1032-IF(L1032="Percentage",ROUND(K1032*N(M1032)/100,2),IF(L1032="Fixed amount",N(M1032),0))))</f>
        <v/>
      </c>
      <c r="O1032" s="17"/>
    </row>
    <row r="1033" spans="1:15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8"/>
      <c r="L1033" s="16"/>
      <c r="M1033" s="16"/>
      <c r="N1033" s="19" t="str">
        <f>IF(A1033="","",IF(K1033="",IFERROR(INDEX(Products!$S$3:$S$302,MATCH(A1033,Products!$A$3:$A$302,0)),"Product not found"),K1033-IF(L1033="Percentage",ROUND(K1033*N(M1033)/100,2),IF(L1033="Fixed amount",N(M1033),0))))</f>
        <v/>
      </c>
      <c r="O1033" s="17"/>
    </row>
    <row r="1034" spans="1:15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8"/>
      <c r="L1034" s="16"/>
      <c r="M1034" s="16"/>
      <c r="N1034" s="19" t="str">
        <f>IF(A1034="","",IF(K1034="",IFERROR(INDEX(Products!$S$3:$S$302,MATCH(A1034,Products!$A$3:$A$302,0)),"Product not found"),K1034-IF(L1034="Percentage",ROUND(K1034*N(M1034)/100,2),IF(L1034="Fixed amount",N(M1034),0))))</f>
        <v/>
      </c>
      <c r="O1034" s="17"/>
    </row>
    <row r="1035" spans="1:15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8"/>
      <c r="L1035" s="16"/>
      <c r="M1035" s="16"/>
      <c r="N1035" s="19" t="str">
        <f>IF(A1035="","",IF(K1035="",IFERROR(INDEX(Products!$S$3:$S$302,MATCH(A1035,Products!$A$3:$A$302,0)),"Product not found"),K1035-IF(L1035="Percentage",ROUND(K1035*N(M1035)/100,2),IF(L1035="Fixed amount",N(M1035),0))))</f>
        <v/>
      </c>
      <c r="O1035" s="17"/>
    </row>
    <row r="1036" spans="1:15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8"/>
      <c r="L1036" s="16"/>
      <c r="M1036" s="16"/>
      <c r="N1036" s="19" t="str">
        <f>IF(A1036="","",IF(K1036="",IFERROR(INDEX(Products!$S$3:$S$302,MATCH(A1036,Products!$A$3:$A$302,0)),"Product not found"),K1036-IF(L1036="Percentage",ROUND(K1036*N(M1036)/100,2),IF(L1036="Fixed amount",N(M1036),0))))</f>
        <v/>
      </c>
      <c r="O1036" s="17"/>
    </row>
    <row r="1037" spans="1:15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8"/>
      <c r="L1037" s="16"/>
      <c r="M1037" s="16"/>
      <c r="N1037" s="19" t="str">
        <f>IF(A1037="","",IF(K1037="",IFERROR(INDEX(Products!$S$3:$S$302,MATCH(A1037,Products!$A$3:$A$302,0)),"Product not found"),K1037-IF(L1037="Percentage",ROUND(K1037*N(M1037)/100,2),IF(L1037="Fixed amount",N(M1037),0))))</f>
        <v/>
      </c>
      <c r="O1037" s="17"/>
    </row>
    <row r="1038" spans="1:15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8"/>
      <c r="L1038" s="16"/>
      <c r="M1038" s="16"/>
      <c r="N1038" s="19" t="str">
        <f>IF(A1038="","",IF(K1038="",IFERROR(INDEX(Products!$S$3:$S$302,MATCH(A1038,Products!$A$3:$A$302,0)),"Product not found"),K1038-IF(L1038="Percentage",ROUND(K1038*N(M1038)/100,2),IF(L1038="Fixed amount",N(M1038),0))))</f>
        <v/>
      </c>
      <c r="O1038" s="17"/>
    </row>
    <row r="1039" spans="1:15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8"/>
      <c r="L1039" s="16"/>
      <c r="M1039" s="16"/>
      <c r="N1039" s="19" t="str">
        <f>IF(A1039="","",IF(K1039="",IFERROR(INDEX(Products!$S$3:$S$302,MATCH(A1039,Products!$A$3:$A$302,0)),"Product not found"),K1039-IF(L1039="Percentage",ROUND(K1039*N(M1039)/100,2),IF(L1039="Fixed amount",N(M1039),0))))</f>
        <v/>
      </c>
      <c r="O1039" s="17"/>
    </row>
    <row r="1040" spans="1:15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8"/>
      <c r="L1040" s="16"/>
      <c r="M1040" s="16"/>
      <c r="N1040" s="19" t="str">
        <f>IF(A1040="","",IF(K1040="",IFERROR(INDEX(Products!$S$3:$S$302,MATCH(A1040,Products!$A$3:$A$302,0)),"Product not found"),K1040-IF(L1040="Percentage",ROUND(K1040*N(M1040)/100,2),IF(L1040="Fixed amount",N(M1040),0))))</f>
        <v/>
      </c>
      <c r="O1040" s="17"/>
    </row>
    <row r="1041" spans="1:15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8"/>
      <c r="L1041" s="16"/>
      <c r="M1041" s="16"/>
      <c r="N1041" s="19" t="str">
        <f>IF(A1041="","",IF(K1041="",IFERROR(INDEX(Products!$S$3:$S$302,MATCH(A1041,Products!$A$3:$A$302,0)),"Product not found"),K1041-IF(L1041="Percentage",ROUND(K1041*N(M1041)/100,2),IF(L1041="Fixed amount",N(M1041),0))))</f>
        <v/>
      </c>
      <c r="O1041" s="17"/>
    </row>
    <row r="1042" spans="1:15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8"/>
      <c r="L1042" s="16"/>
      <c r="M1042" s="16"/>
      <c r="N1042" s="19" t="str">
        <f>IF(A1042="","",IF(K1042="",IFERROR(INDEX(Products!$S$3:$S$302,MATCH(A1042,Products!$A$3:$A$302,0)),"Product not found"),K1042-IF(L1042="Percentage",ROUND(K1042*N(M1042)/100,2),IF(L1042="Fixed amount",N(M1042),0))))</f>
        <v/>
      </c>
      <c r="O1042" s="17"/>
    </row>
    <row r="1043" spans="1:15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8"/>
      <c r="L1043" s="16"/>
      <c r="M1043" s="16"/>
      <c r="N1043" s="19" t="str">
        <f>IF(A1043="","",IF(K1043="",IFERROR(INDEX(Products!$S$3:$S$302,MATCH(A1043,Products!$A$3:$A$302,0)),"Product not found"),K1043-IF(L1043="Percentage",ROUND(K1043*N(M1043)/100,2),IF(L1043="Fixed amount",N(M1043),0))))</f>
        <v/>
      </c>
      <c r="O1043" s="17"/>
    </row>
    <row r="1044" spans="1:15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8"/>
      <c r="L1044" s="16"/>
      <c r="M1044" s="16"/>
      <c r="N1044" s="19" t="str">
        <f>IF(A1044="","",IF(K1044="",IFERROR(INDEX(Products!$S$3:$S$302,MATCH(A1044,Products!$A$3:$A$302,0)),"Product not found"),K1044-IF(L1044="Percentage",ROUND(K1044*N(M1044)/100,2),IF(L1044="Fixed amount",N(M1044),0))))</f>
        <v/>
      </c>
      <c r="O1044" s="17"/>
    </row>
    <row r="1045" spans="1:15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8"/>
      <c r="L1045" s="16"/>
      <c r="M1045" s="16"/>
      <c r="N1045" s="19" t="str">
        <f>IF(A1045="","",IF(K1045="",IFERROR(INDEX(Products!$S$3:$S$302,MATCH(A1045,Products!$A$3:$A$302,0)),"Product not found"),K1045-IF(L1045="Percentage",ROUND(K1045*N(M1045)/100,2),IF(L1045="Fixed amount",N(M1045),0))))</f>
        <v/>
      </c>
      <c r="O1045" s="17"/>
    </row>
    <row r="1046" spans="1:15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8"/>
      <c r="L1046" s="16"/>
      <c r="M1046" s="16"/>
      <c r="N1046" s="19" t="str">
        <f>IF(A1046="","",IF(K1046="",IFERROR(INDEX(Products!$S$3:$S$302,MATCH(A1046,Products!$A$3:$A$302,0)),"Product not found"),K1046-IF(L1046="Percentage",ROUND(K1046*N(M1046)/100,2),IF(L1046="Fixed amount",N(M1046),0))))</f>
        <v/>
      </c>
      <c r="O1046" s="17"/>
    </row>
    <row r="1047" spans="1:15" x14ac:dyDescent="0.3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8"/>
      <c r="L1047" s="16"/>
      <c r="M1047" s="16"/>
      <c r="N1047" s="19" t="str">
        <f>IF(A1047="","",IF(K1047="",IFERROR(INDEX(Products!$S$3:$S$302,MATCH(A1047,Products!$A$3:$A$302,0)),"Product not found"),K1047-IF(L1047="Percentage",ROUND(K1047*N(M1047)/100,2),IF(L1047="Fixed amount",N(M1047),0))))</f>
        <v/>
      </c>
      <c r="O1047" s="17"/>
    </row>
    <row r="1048" spans="1:15" x14ac:dyDescent="0.3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8"/>
      <c r="L1048" s="16"/>
      <c r="M1048" s="16"/>
      <c r="N1048" s="19" t="str">
        <f>IF(A1048="","",IF(K1048="",IFERROR(INDEX(Products!$S$3:$S$302,MATCH(A1048,Products!$A$3:$A$302,0)),"Product not found"),K1048-IF(L1048="Percentage",ROUND(K1048*N(M1048)/100,2),IF(L1048="Fixed amount",N(M1048),0))))</f>
        <v/>
      </c>
      <c r="O1048" s="17"/>
    </row>
    <row r="1049" spans="1:15" x14ac:dyDescent="0.3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8"/>
      <c r="L1049" s="16"/>
      <c r="M1049" s="16"/>
      <c r="N1049" s="19" t="str">
        <f>IF(A1049="","",IF(K1049="",IFERROR(INDEX(Products!$S$3:$S$302,MATCH(A1049,Products!$A$3:$A$302,0)),"Product not found"),K1049-IF(L1049="Percentage",ROUND(K1049*N(M1049)/100,2),IF(L1049="Fixed amount",N(M1049),0))))</f>
        <v/>
      </c>
      <c r="O1049" s="17"/>
    </row>
    <row r="1050" spans="1:15" x14ac:dyDescent="0.3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8"/>
      <c r="L1050" s="16"/>
      <c r="M1050" s="16"/>
      <c r="N1050" s="19" t="str">
        <f>IF(A1050="","",IF(K1050="",IFERROR(INDEX(Products!$S$3:$S$302,MATCH(A1050,Products!$A$3:$A$302,0)),"Product not found"),K1050-IF(L1050="Percentage",ROUND(K1050*N(M1050)/100,2),IF(L1050="Fixed amount",N(M1050),0))))</f>
        <v/>
      </c>
      <c r="O1050" s="17"/>
    </row>
    <row r="1051" spans="1:15" x14ac:dyDescent="0.3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8"/>
      <c r="L1051" s="16"/>
      <c r="M1051" s="16"/>
      <c r="N1051" s="19" t="str">
        <f>IF(A1051="","",IF(K1051="",IFERROR(INDEX(Products!$S$3:$S$302,MATCH(A1051,Products!$A$3:$A$302,0)),"Product not found"),K1051-IF(L1051="Percentage",ROUND(K1051*N(M1051)/100,2),IF(L1051="Fixed amount",N(M1051),0))))</f>
        <v/>
      </c>
      <c r="O1051" s="17"/>
    </row>
    <row r="1052" spans="1:15" x14ac:dyDescent="0.3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8"/>
      <c r="L1052" s="16"/>
      <c r="M1052" s="16"/>
      <c r="N1052" s="19" t="str">
        <f>IF(A1052="","",IF(K1052="",IFERROR(INDEX(Products!$S$3:$S$302,MATCH(A1052,Products!$A$3:$A$302,0)),"Product not found"),K1052-IF(L1052="Percentage",ROUND(K1052*N(M1052)/100,2),IF(L1052="Fixed amount",N(M1052),0))))</f>
        <v/>
      </c>
      <c r="O1052" s="17"/>
    </row>
    <row r="1053" spans="1:15" x14ac:dyDescent="0.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8"/>
      <c r="L1053" s="16"/>
      <c r="M1053" s="16"/>
      <c r="N1053" s="19" t="str">
        <f>IF(A1053="","",IF(K1053="",IFERROR(INDEX(Products!$S$3:$S$302,MATCH(A1053,Products!$A$3:$A$302,0)),"Product not found"),K1053-IF(L1053="Percentage",ROUND(K1053*N(M1053)/100,2),IF(L1053="Fixed amount",N(M1053),0))))</f>
        <v/>
      </c>
      <c r="O1053" s="17"/>
    </row>
    <row r="1054" spans="1:15" x14ac:dyDescent="0.3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8"/>
      <c r="L1054" s="16"/>
      <c r="M1054" s="16"/>
      <c r="N1054" s="19" t="str">
        <f>IF(A1054="","",IF(K1054="",IFERROR(INDEX(Products!$S$3:$S$302,MATCH(A1054,Products!$A$3:$A$302,0)),"Product not found"),K1054-IF(L1054="Percentage",ROUND(K1054*N(M1054)/100,2),IF(L1054="Fixed amount",N(M1054),0))))</f>
        <v/>
      </c>
      <c r="O1054" s="17"/>
    </row>
    <row r="1055" spans="1:15" x14ac:dyDescent="0.3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8"/>
      <c r="L1055" s="16"/>
      <c r="M1055" s="16"/>
      <c r="N1055" s="19" t="str">
        <f>IF(A1055="","",IF(K1055="",IFERROR(INDEX(Products!$S$3:$S$302,MATCH(A1055,Products!$A$3:$A$302,0)),"Product not found"),K1055-IF(L1055="Percentage",ROUND(K1055*N(M1055)/100,2),IF(L1055="Fixed amount",N(M1055),0))))</f>
        <v/>
      </c>
      <c r="O1055" s="17"/>
    </row>
    <row r="1056" spans="1:15" x14ac:dyDescent="0.3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8"/>
      <c r="L1056" s="16"/>
      <c r="M1056" s="16"/>
      <c r="N1056" s="19" t="str">
        <f>IF(A1056="","",IF(K1056="",IFERROR(INDEX(Products!$S$3:$S$302,MATCH(A1056,Products!$A$3:$A$302,0)),"Product not found"),K1056-IF(L1056="Percentage",ROUND(K1056*N(M1056)/100,2),IF(L1056="Fixed amount",N(M1056),0))))</f>
        <v/>
      </c>
      <c r="O1056" s="17"/>
    </row>
    <row r="1057" spans="1:15" x14ac:dyDescent="0.3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8"/>
      <c r="L1057" s="16"/>
      <c r="M1057" s="16"/>
      <c r="N1057" s="19" t="str">
        <f>IF(A1057="","",IF(K1057="",IFERROR(INDEX(Products!$S$3:$S$302,MATCH(A1057,Products!$A$3:$A$302,0)),"Product not found"),K1057-IF(L1057="Percentage",ROUND(K1057*N(M1057)/100,2),IF(L1057="Fixed amount",N(M1057),0))))</f>
        <v/>
      </c>
      <c r="O1057" s="17"/>
    </row>
    <row r="1058" spans="1:15" x14ac:dyDescent="0.3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8"/>
      <c r="L1058" s="16"/>
      <c r="M1058" s="16"/>
      <c r="N1058" s="19" t="str">
        <f>IF(A1058="","",IF(K1058="",IFERROR(INDEX(Products!$S$3:$S$302,MATCH(A1058,Products!$A$3:$A$302,0)),"Product not found"),K1058-IF(L1058="Percentage",ROUND(K1058*N(M1058)/100,2),IF(L1058="Fixed amount",N(M1058),0))))</f>
        <v/>
      </c>
      <c r="O1058" s="17"/>
    </row>
    <row r="1059" spans="1:15" x14ac:dyDescent="0.3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8"/>
      <c r="L1059" s="16"/>
      <c r="M1059" s="16"/>
      <c r="N1059" s="19" t="str">
        <f>IF(A1059="","",IF(K1059="",IFERROR(INDEX(Products!$S$3:$S$302,MATCH(A1059,Products!$A$3:$A$302,0)),"Product not found"),K1059-IF(L1059="Percentage",ROUND(K1059*N(M1059)/100,2),IF(L1059="Fixed amount",N(M1059),0))))</f>
        <v/>
      </c>
      <c r="O1059" s="17"/>
    </row>
    <row r="1060" spans="1:15" x14ac:dyDescent="0.3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8"/>
      <c r="L1060" s="16"/>
      <c r="M1060" s="16"/>
      <c r="N1060" s="19" t="str">
        <f>IF(A1060="","",IF(K1060="",IFERROR(INDEX(Products!$S$3:$S$302,MATCH(A1060,Products!$A$3:$A$302,0)),"Product not found"),K1060-IF(L1060="Percentage",ROUND(K1060*N(M1060)/100,2),IF(L1060="Fixed amount",N(M1060),0))))</f>
        <v/>
      </c>
      <c r="O1060" s="17"/>
    </row>
    <row r="1061" spans="1:15" x14ac:dyDescent="0.3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8"/>
      <c r="L1061" s="16"/>
      <c r="M1061" s="16"/>
      <c r="N1061" s="19" t="str">
        <f>IF(A1061="","",IF(K1061="",IFERROR(INDEX(Products!$S$3:$S$302,MATCH(A1061,Products!$A$3:$A$302,0)),"Product not found"),K1061-IF(L1061="Percentage",ROUND(K1061*N(M1061)/100,2),IF(L1061="Fixed amount",N(M1061),0))))</f>
        <v/>
      </c>
      <c r="O1061" s="17"/>
    </row>
    <row r="1062" spans="1:15" x14ac:dyDescent="0.3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8"/>
      <c r="L1062" s="16"/>
      <c r="M1062" s="16"/>
      <c r="N1062" s="19" t="str">
        <f>IF(A1062="","",IF(K1062="",IFERROR(INDEX(Products!$S$3:$S$302,MATCH(A1062,Products!$A$3:$A$302,0)),"Product not found"),K1062-IF(L1062="Percentage",ROUND(K1062*N(M1062)/100,2),IF(L1062="Fixed amount",N(M1062),0))))</f>
        <v/>
      </c>
      <c r="O1062" s="17"/>
    </row>
    <row r="1063" spans="1:15" x14ac:dyDescent="0.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8"/>
      <c r="L1063" s="16"/>
      <c r="M1063" s="16"/>
      <c r="N1063" s="19" t="str">
        <f>IF(A1063="","",IF(K1063="",IFERROR(INDEX(Products!$S$3:$S$302,MATCH(A1063,Products!$A$3:$A$302,0)),"Product not found"),K1063-IF(L1063="Percentage",ROUND(K1063*N(M1063)/100,2),IF(L1063="Fixed amount",N(M1063),0))))</f>
        <v/>
      </c>
      <c r="O1063" s="17"/>
    </row>
    <row r="1064" spans="1:15" x14ac:dyDescent="0.3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8"/>
      <c r="L1064" s="16"/>
      <c r="M1064" s="16"/>
      <c r="N1064" s="19" t="str">
        <f>IF(A1064="","",IF(K1064="",IFERROR(INDEX(Products!$S$3:$S$302,MATCH(A1064,Products!$A$3:$A$302,0)),"Product not found"),K1064-IF(L1064="Percentage",ROUND(K1064*N(M1064)/100,2),IF(L1064="Fixed amount",N(M1064),0))))</f>
        <v/>
      </c>
      <c r="O1064" s="17"/>
    </row>
    <row r="1065" spans="1:15" x14ac:dyDescent="0.3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8"/>
      <c r="L1065" s="16"/>
      <c r="M1065" s="16"/>
      <c r="N1065" s="19" t="str">
        <f>IF(A1065="","",IF(K1065="",IFERROR(INDEX(Products!$S$3:$S$302,MATCH(A1065,Products!$A$3:$A$302,0)),"Product not found"),K1065-IF(L1065="Percentage",ROUND(K1065*N(M1065)/100,2),IF(L1065="Fixed amount",N(M1065),0))))</f>
        <v/>
      </c>
      <c r="O1065" s="17"/>
    </row>
    <row r="1066" spans="1:15" x14ac:dyDescent="0.3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8"/>
      <c r="L1066" s="16"/>
      <c r="M1066" s="16"/>
      <c r="N1066" s="19" t="str">
        <f>IF(A1066="","",IF(K1066="",IFERROR(INDEX(Products!$S$3:$S$302,MATCH(A1066,Products!$A$3:$A$302,0)),"Product not found"),K1066-IF(L1066="Percentage",ROUND(K1066*N(M1066)/100,2),IF(L1066="Fixed amount",N(M1066),0))))</f>
        <v/>
      </c>
      <c r="O1066" s="17"/>
    </row>
    <row r="1067" spans="1:15" x14ac:dyDescent="0.3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8"/>
      <c r="L1067" s="16"/>
      <c r="M1067" s="16"/>
      <c r="N1067" s="19" t="str">
        <f>IF(A1067="","",IF(K1067="",IFERROR(INDEX(Products!$S$3:$S$302,MATCH(A1067,Products!$A$3:$A$302,0)),"Product not found"),K1067-IF(L1067="Percentage",ROUND(K1067*N(M1067)/100,2),IF(L1067="Fixed amount",N(M1067),0))))</f>
        <v/>
      </c>
      <c r="O1067" s="17"/>
    </row>
    <row r="1068" spans="1:15" x14ac:dyDescent="0.3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8"/>
      <c r="L1068" s="16"/>
      <c r="M1068" s="16"/>
      <c r="N1068" s="19" t="str">
        <f>IF(A1068="","",IF(K1068="",IFERROR(INDEX(Products!$S$3:$S$302,MATCH(A1068,Products!$A$3:$A$302,0)),"Product not found"),K1068-IF(L1068="Percentage",ROUND(K1068*N(M1068)/100,2),IF(L1068="Fixed amount",N(M1068),0))))</f>
        <v/>
      </c>
      <c r="O1068" s="17"/>
    </row>
    <row r="1069" spans="1:15" x14ac:dyDescent="0.3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8"/>
      <c r="L1069" s="16"/>
      <c r="M1069" s="16"/>
      <c r="N1069" s="19" t="str">
        <f>IF(A1069="","",IF(K1069="",IFERROR(INDEX(Products!$S$3:$S$302,MATCH(A1069,Products!$A$3:$A$302,0)),"Product not found"),K1069-IF(L1069="Percentage",ROUND(K1069*N(M1069)/100,2),IF(L1069="Fixed amount",N(M1069),0))))</f>
        <v/>
      </c>
      <c r="O1069" s="17"/>
    </row>
    <row r="1070" spans="1:15" x14ac:dyDescent="0.3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8"/>
      <c r="L1070" s="16"/>
      <c r="M1070" s="16"/>
      <c r="N1070" s="19" t="str">
        <f>IF(A1070="","",IF(K1070="",IFERROR(INDEX(Products!$S$3:$S$302,MATCH(A1070,Products!$A$3:$A$302,0)),"Product not found"),K1070-IF(L1070="Percentage",ROUND(K1070*N(M1070)/100,2),IF(L1070="Fixed amount",N(M1070),0))))</f>
        <v/>
      </c>
      <c r="O1070" s="17"/>
    </row>
    <row r="1071" spans="1:15" x14ac:dyDescent="0.3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8"/>
      <c r="L1071" s="16"/>
      <c r="M1071" s="16"/>
      <c r="N1071" s="19" t="str">
        <f>IF(A1071="","",IF(K1071="",IFERROR(INDEX(Products!$S$3:$S$302,MATCH(A1071,Products!$A$3:$A$302,0)),"Product not found"),K1071-IF(L1071="Percentage",ROUND(K1071*N(M1071)/100,2),IF(L1071="Fixed amount",N(M1071),0))))</f>
        <v/>
      </c>
      <c r="O1071" s="17"/>
    </row>
    <row r="1072" spans="1:15" x14ac:dyDescent="0.3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8"/>
      <c r="L1072" s="16"/>
      <c r="M1072" s="16"/>
      <c r="N1072" s="19" t="str">
        <f>IF(A1072="","",IF(K1072="",IFERROR(INDEX(Products!$S$3:$S$302,MATCH(A1072,Products!$A$3:$A$302,0)),"Product not found"),K1072-IF(L1072="Percentage",ROUND(K1072*N(M1072)/100,2),IF(L1072="Fixed amount",N(M1072),0))))</f>
        <v/>
      </c>
      <c r="O1072" s="17"/>
    </row>
    <row r="1073" spans="1:15" x14ac:dyDescent="0.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8"/>
      <c r="L1073" s="16"/>
      <c r="M1073" s="16"/>
      <c r="N1073" s="19" t="str">
        <f>IF(A1073="","",IF(K1073="",IFERROR(INDEX(Products!$S$3:$S$302,MATCH(A1073,Products!$A$3:$A$302,0)),"Product not found"),K1073-IF(L1073="Percentage",ROUND(K1073*N(M1073)/100,2),IF(L1073="Fixed amount",N(M1073),0))))</f>
        <v/>
      </c>
      <c r="O1073" s="17"/>
    </row>
    <row r="1074" spans="1:15" x14ac:dyDescent="0.3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8"/>
      <c r="L1074" s="16"/>
      <c r="M1074" s="16"/>
      <c r="N1074" s="19" t="str">
        <f>IF(A1074="","",IF(K1074="",IFERROR(INDEX(Products!$S$3:$S$302,MATCH(A1074,Products!$A$3:$A$302,0)),"Product not found"),K1074-IF(L1074="Percentage",ROUND(K1074*N(M1074)/100,2),IF(L1074="Fixed amount",N(M1074),0))))</f>
        <v/>
      </c>
      <c r="O1074" s="17"/>
    </row>
    <row r="1075" spans="1:15" x14ac:dyDescent="0.3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8"/>
      <c r="L1075" s="16"/>
      <c r="M1075" s="16"/>
      <c r="N1075" s="19" t="str">
        <f>IF(A1075="","",IF(K1075="",IFERROR(INDEX(Products!$S$3:$S$302,MATCH(A1075,Products!$A$3:$A$302,0)),"Product not found"),K1075-IF(L1075="Percentage",ROUND(K1075*N(M1075)/100,2),IF(L1075="Fixed amount",N(M1075),0))))</f>
        <v/>
      </c>
      <c r="O1075" s="17"/>
    </row>
    <row r="1076" spans="1:15" x14ac:dyDescent="0.3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8"/>
      <c r="L1076" s="16"/>
      <c r="M1076" s="16"/>
      <c r="N1076" s="19" t="str">
        <f>IF(A1076="","",IF(K1076="",IFERROR(INDEX(Products!$S$3:$S$302,MATCH(A1076,Products!$A$3:$A$302,0)),"Product not found"),K1076-IF(L1076="Percentage",ROUND(K1076*N(M1076)/100,2),IF(L1076="Fixed amount",N(M1076),0))))</f>
        <v/>
      </c>
      <c r="O1076" s="17"/>
    </row>
    <row r="1077" spans="1:15" x14ac:dyDescent="0.3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8"/>
      <c r="L1077" s="16"/>
      <c r="M1077" s="16"/>
      <c r="N1077" s="19" t="str">
        <f>IF(A1077="","",IF(K1077="",IFERROR(INDEX(Products!$S$3:$S$302,MATCH(A1077,Products!$A$3:$A$302,0)),"Product not found"),K1077-IF(L1077="Percentage",ROUND(K1077*N(M1077)/100,2),IF(L1077="Fixed amount",N(M1077),0))))</f>
        <v/>
      </c>
      <c r="O1077" s="17"/>
    </row>
    <row r="1078" spans="1:15" x14ac:dyDescent="0.3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8"/>
      <c r="L1078" s="16"/>
      <c r="M1078" s="16"/>
      <c r="N1078" s="19" t="str">
        <f>IF(A1078="","",IF(K1078="",IFERROR(INDEX(Products!$S$3:$S$302,MATCH(A1078,Products!$A$3:$A$302,0)),"Product not found"),K1078-IF(L1078="Percentage",ROUND(K1078*N(M1078)/100,2),IF(L1078="Fixed amount",N(M1078),0))))</f>
        <v/>
      </c>
      <c r="O1078" s="17"/>
    </row>
    <row r="1079" spans="1:15" x14ac:dyDescent="0.3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8"/>
      <c r="L1079" s="16"/>
      <c r="M1079" s="16"/>
      <c r="N1079" s="19" t="str">
        <f>IF(A1079="","",IF(K1079="",IFERROR(INDEX(Products!$S$3:$S$302,MATCH(A1079,Products!$A$3:$A$302,0)),"Product not found"),K1079-IF(L1079="Percentage",ROUND(K1079*N(M1079)/100,2),IF(L1079="Fixed amount",N(M1079),0))))</f>
        <v/>
      </c>
      <c r="O1079" s="17"/>
    </row>
    <row r="1080" spans="1:15" x14ac:dyDescent="0.3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8"/>
      <c r="L1080" s="16"/>
      <c r="M1080" s="16"/>
      <c r="N1080" s="19" t="str">
        <f>IF(A1080="","",IF(K1080="",IFERROR(INDEX(Products!$S$3:$S$302,MATCH(A1080,Products!$A$3:$A$302,0)),"Product not found"),K1080-IF(L1080="Percentage",ROUND(K1080*N(M1080)/100,2),IF(L1080="Fixed amount",N(M1080),0))))</f>
        <v/>
      </c>
      <c r="O1080" s="17"/>
    </row>
    <row r="1081" spans="1:15" x14ac:dyDescent="0.3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8"/>
      <c r="L1081" s="16"/>
      <c r="M1081" s="16"/>
      <c r="N1081" s="19" t="str">
        <f>IF(A1081="","",IF(K1081="",IFERROR(INDEX(Products!$S$3:$S$302,MATCH(A1081,Products!$A$3:$A$302,0)),"Product not found"),K1081-IF(L1081="Percentage",ROUND(K1081*N(M1081)/100,2),IF(L1081="Fixed amount",N(M1081),0))))</f>
        <v/>
      </c>
      <c r="O1081" s="17"/>
    </row>
    <row r="1082" spans="1:15" x14ac:dyDescent="0.3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8"/>
      <c r="L1082" s="16"/>
      <c r="M1082" s="16"/>
      <c r="N1082" s="19" t="str">
        <f>IF(A1082="","",IF(K1082="",IFERROR(INDEX(Products!$S$3:$S$302,MATCH(A1082,Products!$A$3:$A$302,0)),"Product not found"),K1082-IF(L1082="Percentage",ROUND(K1082*N(M1082)/100,2),IF(L1082="Fixed amount",N(M1082),0))))</f>
        <v/>
      </c>
      <c r="O1082" s="17"/>
    </row>
    <row r="1083" spans="1:15" x14ac:dyDescent="0.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8"/>
      <c r="L1083" s="16"/>
      <c r="M1083" s="16"/>
      <c r="N1083" s="19" t="str">
        <f>IF(A1083="","",IF(K1083="",IFERROR(INDEX(Products!$S$3:$S$302,MATCH(A1083,Products!$A$3:$A$302,0)),"Product not found"),K1083-IF(L1083="Percentage",ROUND(K1083*N(M1083)/100,2),IF(L1083="Fixed amount",N(M1083),0))))</f>
        <v/>
      </c>
      <c r="O1083" s="17"/>
    </row>
    <row r="1084" spans="1:15" x14ac:dyDescent="0.3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8"/>
      <c r="L1084" s="16"/>
      <c r="M1084" s="16"/>
      <c r="N1084" s="19" t="str">
        <f>IF(A1084="","",IF(K1084="",IFERROR(INDEX(Products!$S$3:$S$302,MATCH(A1084,Products!$A$3:$A$302,0)),"Product not found"),K1084-IF(L1084="Percentage",ROUND(K1084*N(M1084)/100,2),IF(L1084="Fixed amount",N(M1084),0))))</f>
        <v/>
      </c>
      <c r="O1084" s="17"/>
    </row>
    <row r="1085" spans="1:15" x14ac:dyDescent="0.3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8"/>
      <c r="L1085" s="16"/>
      <c r="M1085" s="16"/>
      <c r="N1085" s="19" t="str">
        <f>IF(A1085="","",IF(K1085="",IFERROR(INDEX(Products!$S$3:$S$302,MATCH(A1085,Products!$A$3:$A$302,0)),"Product not found"),K1085-IF(L1085="Percentage",ROUND(K1085*N(M1085)/100,2),IF(L1085="Fixed amount",N(M1085),0))))</f>
        <v/>
      </c>
      <c r="O1085" s="17"/>
    </row>
    <row r="1086" spans="1:15" x14ac:dyDescent="0.3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8"/>
      <c r="L1086" s="16"/>
      <c r="M1086" s="16"/>
      <c r="N1086" s="19" t="str">
        <f>IF(A1086="","",IF(K1086="",IFERROR(INDEX(Products!$S$3:$S$302,MATCH(A1086,Products!$A$3:$A$302,0)),"Product not found"),K1086-IF(L1086="Percentage",ROUND(K1086*N(M1086)/100,2),IF(L1086="Fixed amount",N(M1086),0))))</f>
        <v/>
      </c>
      <c r="O1086" s="17"/>
    </row>
    <row r="1087" spans="1:15" x14ac:dyDescent="0.3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8"/>
      <c r="L1087" s="16"/>
      <c r="M1087" s="16"/>
      <c r="N1087" s="19" t="str">
        <f>IF(A1087="","",IF(K1087="",IFERROR(INDEX(Products!$S$3:$S$302,MATCH(A1087,Products!$A$3:$A$302,0)),"Product not found"),K1087-IF(L1087="Percentage",ROUND(K1087*N(M1087)/100,2),IF(L1087="Fixed amount",N(M1087),0))))</f>
        <v/>
      </c>
      <c r="O1087" s="17"/>
    </row>
    <row r="1088" spans="1:15" x14ac:dyDescent="0.3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8"/>
      <c r="L1088" s="16"/>
      <c r="M1088" s="16"/>
      <c r="N1088" s="19" t="str">
        <f>IF(A1088="","",IF(K1088="",IFERROR(INDEX(Products!$S$3:$S$302,MATCH(A1088,Products!$A$3:$A$302,0)),"Product not found"),K1088-IF(L1088="Percentage",ROUND(K1088*N(M1088)/100,2),IF(L1088="Fixed amount",N(M1088),0))))</f>
        <v/>
      </c>
      <c r="O1088" s="17"/>
    </row>
    <row r="1089" spans="1:15" x14ac:dyDescent="0.3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8"/>
      <c r="L1089" s="16"/>
      <c r="M1089" s="16"/>
      <c r="N1089" s="19" t="str">
        <f>IF(A1089="","",IF(K1089="",IFERROR(INDEX(Products!$S$3:$S$302,MATCH(A1089,Products!$A$3:$A$302,0)),"Product not found"),K1089-IF(L1089="Percentage",ROUND(K1089*N(M1089)/100,2),IF(L1089="Fixed amount",N(M1089),0))))</f>
        <v/>
      </c>
      <c r="O1089" s="17"/>
    </row>
    <row r="1090" spans="1:15" x14ac:dyDescent="0.3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8"/>
      <c r="L1090" s="16"/>
      <c r="M1090" s="16"/>
      <c r="N1090" s="19" t="str">
        <f>IF(A1090="","",IF(K1090="",IFERROR(INDEX(Products!$S$3:$S$302,MATCH(A1090,Products!$A$3:$A$302,0)),"Product not found"),K1090-IF(L1090="Percentage",ROUND(K1090*N(M1090)/100,2),IF(L1090="Fixed amount",N(M1090),0))))</f>
        <v/>
      </c>
      <c r="O1090" s="17"/>
    </row>
    <row r="1091" spans="1:15" x14ac:dyDescent="0.3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8"/>
      <c r="L1091" s="16"/>
      <c r="M1091" s="16"/>
      <c r="N1091" s="19" t="str">
        <f>IF(A1091="","",IF(K1091="",IFERROR(INDEX(Products!$S$3:$S$302,MATCH(A1091,Products!$A$3:$A$302,0)),"Product not found"),K1091-IF(L1091="Percentage",ROUND(K1091*N(M1091)/100,2),IF(L1091="Fixed amount",N(M1091),0))))</f>
        <v/>
      </c>
      <c r="O1091" s="17"/>
    </row>
    <row r="1092" spans="1:15" x14ac:dyDescent="0.3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8"/>
      <c r="L1092" s="16"/>
      <c r="M1092" s="16"/>
      <c r="N1092" s="19" t="str">
        <f>IF(A1092="","",IF(K1092="",IFERROR(INDEX(Products!$S$3:$S$302,MATCH(A1092,Products!$A$3:$A$302,0)),"Product not found"),K1092-IF(L1092="Percentage",ROUND(K1092*N(M1092)/100,2),IF(L1092="Fixed amount",N(M1092),0))))</f>
        <v/>
      </c>
      <c r="O1092" s="17"/>
    </row>
    <row r="1093" spans="1:15" x14ac:dyDescent="0.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8"/>
      <c r="L1093" s="16"/>
      <c r="M1093" s="16"/>
      <c r="N1093" s="19" t="str">
        <f>IF(A1093="","",IF(K1093="",IFERROR(INDEX(Products!$S$3:$S$302,MATCH(A1093,Products!$A$3:$A$302,0)),"Product not found"),K1093-IF(L1093="Percentage",ROUND(K1093*N(M1093)/100,2),IF(L1093="Fixed amount",N(M1093),0))))</f>
        <v/>
      </c>
      <c r="O1093" s="17"/>
    </row>
    <row r="1094" spans="1:15" x14ac:dyDescent="0.3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8"/>
      <c r="L1094" s="16"/>
      <c r="M1094" s="16"/>
      <c r="N1094" s="19" t="str">
        <f>IF(A1094="","",IF(K1094="",IFERROR(INDEX(Products!$S$3:$S$302,MATCH(A1094,Products!$A$3:$A$302,0)),"Product not found"),K1094-IF(L1094="Percentage",ROUND(K1094*N(M1094)/100,2),IF(L1094="Fixed amount",N(M1094),0))))</f>
        <v/>
      </c>
      <c r="O1094" s="17"/>
    </row>
    <row r="1095" spans="1:15" x14ac:dyDescent="0.3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8"/>
      <c r="L1095" s="16"/>
      <c r="M1095" s="16"/>
      <c r="N1095" s="19" t="str">
        <f>IF(A1095="","",IF(K1095="",IFERROR(INDEX(Products!$S$3:$S$302,MATCH(A1095,Products!$A$3:$A$302,0)),"Product not found"),K1095-IF(L1095="Percentage",ROUND(K1095*N(M1095)/100,2),IF(L1095="Fixed amount",N(M1095),0))))</f>
        <v/>
      </c>
      <c r="O1095" s="17"/>
    </row>
    <row r="1096" spans="1:15" x14ac:dyDescent="0.3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8"/>
      <c r="L1096" s="16"/>
      <c r="M1096" s="16"/>
      <c r="N1096" s="19" t="str">
        <f>IF(A1096="","",IF(K1096="",IFERROR(INDEX(Products!$S$3:$S$302,MATCH(A1096,Products!$A$3:$A$302,0)),"Product not found"),K1096-IF(L1096="Percentage",ROUND(K1096*N(M1096)/100,2),IF(L1096="Fixed amount",N(M1096),0))))</f>
        <v/>
      </c>
      <c r="O1096" s="17"/>
    </row>
    <row r="1097" spans="1:15" x14ac:dyDescent="0.3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8"/>
      <c r="L1097" s="16"/>
      <c r="M1097" s="16"/>
      <c r="N1097" s="19" t="str">
        <f>IF(A1097="","",IF(K1097="",IFERROR(INDEX(Products!$S$3:$S$302,MATCH(A1097,Products!$A$3:$A$302,0)),"Product not found"),K1097-IF(L1097="Percentage",ROUND(K1097*N(M1097)/100,2),IF(L1097="Fixed amount",N(M1097),0))))</f>
        <v/>
      </c>
      <c r="O1097" s="17"/>
    </row>
    <row r="1098" spans="1:15" x14ac:dyDescent="0.3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8"/>
      <c r="L1098" s="16"/>
      <c r="M1098" s="16"/>
      <c r="N1098" s="19" t="str">
        <f>IF(A1098="","",IF(K1098="",IFERROR(INDEX(Products!$S$3:$S$302,MATCH(A1098,Products!$A$3:$A$302,0)),"Product not found"),K1098-IF(L1098="Percentage",ROUND(K1098*N(M1098)/100,2),IF(L1098="Fixed amount",N(M1098),0))))</f>
        <v/>
      </c>
      <c r="O1098" s="17"/>
    </row>
    <row r="1099" spans="1:15" x14ac:dyDescent="0.3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8"/>
      <c r="L1099" s="16"/>
      <c r="M1099" s="16"/>
      <c r="N1099" s="19" t="str">
        <f>IF(A1099="","",IF(K1099="",IFERROR(INDEX(Products!$S$3:$S$302,MATCH(A1099,Products!$A$3:$A$302,0)),"Product not found"),K1099-IF(L1099="Percentage",ROUND(K1099*N(M1099)/100,2),IF(L1099="Fixed amount",N(M1099),0))))</f>
        <v/>
      </c>
      <c r="O1099" s="17"/>
    </row>
    <row r="1100" spans="1:15" x14ac:dyDescent="0.3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8"/>
      <c r="L1100" s="16"/>
      <c r="M1100" s="16"/>
      <c r="N1100" s="19" t="str">
        <f>IF(A1100="","",IF(K1100="",IFERROR(INDEX(Products!$S$3:$S$302,MATCH(A1100,Products!$A$3:$A$302,0)),"Product not found"),K1100-IF(L1100="Percentage",ROUND(K1100*N(M1100)/100,2),IF(L1100="Fixed amount",N(M1100),0))))</f>
        <v/>
      </c>
      <c r="O1100" s="17"/>
    </row>
    <row r="1101" spans="1:15" x14ac:dyDescent="0.3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8"/>
      <c r="L1101" s="16"/>
      <c r="M1101" s="16"/>
      <c r="N1101" s="19" t="str">
        <f>IF(A1101="","",IF(K1101="",IFERROR(INDEX(Products!$S$3:$S$302,MATCH(A1101,Products!$A$3:$A$302,0)),"Product not found"),K1101-IF(L1101="Percentage",ROUND(K1101*N(M1101)/100,2),IF(L1101="Fixed amount",N(M1101),0))))</f>
        <v/>
      </c>
      <c r="O1101" s="17"/>
    </row>
    <row r="1102" spans="1:15" x14ac:dyDescent="0.3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8"/>
      <c r="L1102" s="16"/>
      <c r="M1102" s="16"/>
      <c r="N1102" s="19" t="str">
        <f>IF(A1102="","",IF(K1102="",IFERROR(INDEX(Products!$S$3:$S$302,MATCH(A1102,Products!$A$3:$A$302,0)),"Product not found"),K1102-IF(L1102="Percentage",ROUND(K1102*N(M1102)/100,2),IF(L1102="Fixed amount",N(M1102),0))))</f>
        <v/>
      </c>
      <c r="O1102" s="17"/>
    </row>
    <row r="1103" spans="1:15" x14ac:dyDescent="0.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8"/>
      <c r="L1103" s="16"/>
      <c r="M1103" s="16"/>
      <c r="N1103" s="19" t="str">
        <f>IF(A1103="","",IF(K1103="",IFERROR(INDEX(Products!$S$3:$S$302,MATCH(A1103,Products!$A$3:$A$302,0)),"Product not found"),K1103-IF(L1103="Percentage",ROUND(K1103*N(M1103)/100,2),IF(L1103="Fixed amount",N(M1103),0))))</f>
        <v/>
      </c>
      <c r="O1103" s="17"/>
    </row>
    <row r="1104" spans="1:15" x14ac:dyDescent="0.3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8"/>
      <c r="L1104" s="16"/>
      <c r="M1104" s="16"/>
      <c r="N1104" s="19" t="str">
        <f>IF(A1104="","",IF(K1104="",IFERROR(INDEX(Products!$S$3:$S$302,MATCH(A1104,Products!$A$3:$A$302,0)),"Product not found"),K1104-IF(L1104="Percentage",ROUND(K1104*N(M1104)/100,2),IF(L1104="Fixed amount",N(M1104),0))))</f>
        <v/>
      </c>
      <c r="O1104" s="17"/>
    </row>
    <row r="1105" spans="1:15" x14ac:dyDescent="0.3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8"/>
      <c r="L1105" s="16"/>
      <c r="M1105" s="16"/>
      <c r="N1105" s="19" t="str">
        <f>IF(A1105="","",IF(K1105="",IFERROR(INDEX(Products!$S$3:$S$302,MATCH(A1105,Products!$A$3:$A$302,0)),"Product not found"),K1105-IF(L1105="Percentage",ROUND(K1105*N(M1105)/100,2),IF(L1105="Fixed amount",N(M1105),0))))</f>
        <v/>
      </c>
      <c r="O1105" s="17"/>
    </row>
    <row r="1106" spans="1:15" x14ac:dyDescent="0.3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8"/>
      <c r="L1106" s="16"/>
      <c r="M1106" s="16"/>
      <c r="N1106" s="19" t="str">
        <f>IF(A1106="","",IF(K1106="",IFERROR(INDEX(Products!$S$3:$S$302,MATCH(A1106,Products!$A$3:$A$302,0)),"Product not found"),K1106-IF(L1106="Percentage",ROUND(K1106*N(M1106)/100,2),IF(L1106="Fixed amount",N(M1106),0))))</f>
        <v/>
      </c>
      <c r="O1106" s="17"/>
    </row>
    <row r="1107" spans="1:15" x14ac:dyDescent="0.3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8"/>
      <c r="L1107" s="16"/>
      <c r="M1107" s="16"/>
      <c r="N1107" s="19" t="str">
        <f>IF(A1107="","",IF(K1107="",IFERROR(INDEX(Products!$S$3:$S$302,MATCH(A1107,Products!$A$3:$A$302,0)),"Product not found"),K1107-IF(L1107="Percentage",ROUND(K1107*N(M1107)/100,2),IF(L1107="Fixed amount",N(M1107),0))))</f>
        <v/>
      </c>
      <c r="O1107" s="17"/>
    </row>
    <row r="1108" spans="1:15" x14ac:dyDescent="0.3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8"/>
      <c r="L1108" s="16"/>
      <c r="M1108" s="16"/>
      <c r="N1108" s="19" t="str">
        <f>IF(A1108="","",IF(K1108="",IFERROR(INDEX(Products!$S$3:$S$302,MATCH(A1108,Products!$A$3:$A$302,0)),"Product not found"),K1108-IF(L1108="Percentage",ROUND(K1108*N(M1108)/100,2),IF(L1108="Fixed amount",N(M1108),0))))</f>
        <v/>
      </c>
      <c r="O1108" s="17"/>
    </row>
    <row r="1109" spans="1:15" x14ac:dyDescent="0.3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8"/>
      <c r="L1109" s="16"/>
      <c r="M1109" s="16"/>
      <c r="N1109" s="19" t="str">
        <f>IF(A1109="","",IF(K1109="",IFERROR(INDEX(Products!$S$3:$S$302,MATCH(A1109,Products!$A$3:$A$302,0)),"Product not found"),K1109-IF(L1109="Percentage",ROUND(K1109*N(M1109)/100,2),IF(L1109="Fixed amount",N(M1109),0))))</f>
        <v/>
      </c>
      <c r="O1109" s="17"/>
    </row>
    <row r="1110" spans="1:15" x14ac:dyDescent="0.3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8"/>
      <c r="L1110" s="16"/>
      <c r="M1110" s="16"/>
      <c r="N1110" s="19" t="str">
        <f>IF(A1110="","",IF(K1110="",IFERROR(INDEX(Products!$S$3:$S$302,MATCH(A1110,Products!$A$3:$A$302,0)),"Product not found"),K1110-IF(L1110="Percentage",ROUND(K1110*N(M1110)/100,2),IF(L1110="Fixed amount",N(M1110),0))))</f>
        <v/>
      </c>
      <c r="O1110" s="17"/>
    </row>
    <row r="1111" spans="1:15" x14ac:dyDescent="0.3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8"/>
      <c r="L1111" s="16"/>
      <c r="M1111" s="16"/>
      <c r="N1111" s="19" t="str">
        <f>IF(A1111="","",IF(K1111="",IFERROR(INDEX(Products!$S$3:$S$302,MATCH(A1111,Products!$A$3:$A$302,0)),"Product not found"),K1111-IF(L1111="Percentage",ROUND(K1111*N(M1111)/100,2),IF(L1111="Fixed amount",N(M1111),0))))</f>
        <v/>
      </c>
      <c r="O1111" s="17"/>
    </row>
    <row r="1112" spans="1:15" x14ac:dyDescent="0.3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8"/>
      <c r="L1112" s="16"/>
      <c r="M1112" s="16"/>
      <c r="N1112" s="19" t="str">
        <f>IF(A1112="","",IF(K1112="",IFERROR(INDEX(Products!$S$3:$S$302,MATCH(A1112,Products!$A$3:$A$302,0)),"Product not found"),K1112-IF(L1112="Percentage",ROUND(K1112*N(M1112)/100,2),IF(L1112="Fixed amount",N(M1112),0))))</f>
        <v/>
      </c>
      <c r="O1112" s="17"/>
    </row>
    <row r="1113" spans="1:15" x14ac:dyDescent="0.3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8"/>
      <c r="L1113" s="16"/>
      <c r="M1113" s="16"/>
      <c r="N1113" s="19" t="str">
        <f>IF(A1113="","",IF(K1113="",IFERROR(INDEX(Products!$S$3:$S$302,MATCH(A1113,Products!$A$3:$A$302,0)),"Product not found"),K1113-IF(L1113="Percentage",ROUND(K1113*N(M1113)/100,2),IF(L1113="Fixed amount",N(M1113),0))))</f>
        <v/>
      </c>
      <c r="O1113" s="17"/>
    </row>
    <row r="1114" spans="1:15" x14ac:dyDescent="0.3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8"/>
      <c r="L1114" s="16"/>
      <c r="M1114" s="16"/>
      <c r="N1114" s="19" t="str">
        <f>IF(A1114="","",IF(K1114="",IFERROR(INDEX(Products!$S$3:$S$302,MATCH(A1114,Products!$A$3:$A$302,0)),"Product not found"),K1114-IF(L1114="Percentage",ROUND(K1114*N(M1114)/100,2),IF(L1114="Fixed amount",N(M1114),0))))</f>
        <v/>
      </c>
      <c r="O1114" s="17"/>
    </row>
    <row r="1115" spans="1:15" x14ac:dyDescent="0.3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8"/>
      <c r="L1115" s="16"/>
      <c r="M1115" s="16"/>
      <c r="N1115" s="19" t="str">
        <f>IF(A1115="","",IF(K1115="",IFERROR(INDEX(Products!$S$3:$S$302,MATCH(A1115,Products!$A$3:$A$302,0)),"Product not found"),K1115-IF(L1115="Percentage",ROUND(K1115*N(M1115)/100,2),IF(L1115="Fixed amount",N(M1115),0))))</f>
        <v/>
      </c>
      <c r="O1115" s="17"/>
    </row>
    <row r="1116" spans="1:15" x14ac:dyDescent="0.3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8"/>
      <c r="L1116" s="16"/>
      <c r="M1116" s="16"/>
      <c r="N1116" s="19" t="str">
        <f>IF(A1116="","",IF(K1116="",IFERROR(INDEX(Products!$S$3:$S$302,MATCH(A1116,Products!$A$3:$A$302,0)),"Product not found"),K1116-IF(L1116="Percentage",ROUND(K1116*N(M1116)/100,2),IF(L1116="Fixed amount",N(M1116),0))))</f>
        <v/>
      </c>
      <c r="O1116" s="17"/>
    </row>
    <row r="1117" spans="1:15" x14ac:dyDescent="0.3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8"/>
      <c r="L1117" s="16"/>
      <c r="M1117" s="16"/>
      <c r="N1117" s="19" t="str">
        <f>IF(A1117="","",IF(K1117="",IFERROR(INDEX(Products!$S$3:$S$302,MATCH(A1117,Products!$A$3:$A$302,0)),"Product not found"),K1117-IF(L1117="Percentage",ROUND(K1117*N(M1117)/100,2),IF(L1117="Fixed amount",N(M1117),0))))</f>
        <v/>
      </c>
      <c r="O1117" s="17"/>
    </row>
    <row r="1118" spans="1:15" x14ac:dyDescent="0.3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8"/>
      <c r="L1118" s="16"/>
      <c r="M1118" s="16"/>
      <c r="N1118" s="19" t="str">
        <f>IF(A1118="","",IF(K1118="",IFERROR(INDEX(Products!$S$3:$S$302,MATCH(A1118,Products!$A$3:$A$302,0)),"Product not found"),K1118-IF(L1118="Percentage",ROUND(K1118*N(M1118)/100,2),IF(L1118="Fixed amount",N(M1118),0))))</f>
        <v/>
      </c>
      <c r="O1118" s="17"/>
    </row>
    <row r="1119" spans="1:15" x14ac:dyDescent="0.3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8"/>
      <c r="L1119" s="16"/>
      <c r="M1119" s="16"/>
      <c r="N1119" s="19" t="str">
        <f>IF(A1119="","",IF(K1119="",IFERROR(INDEX(Products!$S$3:$S$302,MATCH(A1119,Products!$A$3:$A$302,0)),"Product not found"),K1119-IF(L1119="Percentage",ROUND(K1119*N(M1119)/100,2),IF(L1119="Fixed amount",N(M1119),0))))</f>
        <v/>
      </c>
      <c r="O1119" s="17"/>
    </row>
    <row r="1120" spans="1:15" x14ac:dyDescent="0.3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8"/>
      <c r="L1120" s="16"/>
      <c r="M1120" s="16"/>
      <c r="N1120" s="19" t="str">
        <f>IF(A1120="","",IF(K1120="",IFERROR(INDEX(Products!$S$3:$S$302,MATCH(A1120,Products!$A$3:$A$302,0)),"Product not found"),K1120-IF(L1120="Percentage",ROUND(K1120*N(M1120)/100,2),IF(L1120="Fixed amount",N(M1120),0))))</f>
        <v/>
      </c>
      <c r="O1120" s="17"/>
    </row>
    <row r="1121" spans="1:15" x14ac:dyDescent="0.3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8"/>
      <c r="L1121" s="16"/>
      <c r="M1121" s="16"/>
      <c r="N1121" s="19" t="str">
        <f>IF(A1121="","",IF(K1121="",IFERROR(INDEX(Products!$S$3:$S$302,MATCH(A1121,Products!$A$3:$A$302,0)),"Product not found"),K1121-IF(L1121="Percentage",ROUND(K1121*N(M1121)/100,2),IF(L1121="Fixed amount",N(M1121),0))))</f>
        <v/>
      </c>
      <c r="O1121" s="17"/>
    </row>
    <row r="1122" spans="1:15" x14ac:dyDescent="0.3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8"/>
      <c r="L1122" s="16"/>
      <c r="M1122" s="16"/>
      <c r="N1122" s="19" t="str">
        <f>IF(A1122="","",IF(K1122="",IFERROR(INDEX(Products!$S$3:$S$302,MATCH(A1122,Products!$A$3:$A$302,0)),"Product not found"),K1122-IF(L1122="Percentage",ROUND(K1122*N(M1122)/100,2),IF(L1122="Fixed amount",N(M1122),0))))</f>
        <v/>
      </c>
      <c r="O1122" s="17"/>
    </row>
    <row r="1123" spans="1:15" x14ac:dyDescent="0.3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8"/>
      <c r="L1123" s="16"/>
      <c r="M1123" s="16"/>
      <c r="N1123" s="19" t="str">
        <f>IF(A1123="","",IF(K1123="",IFERROR(INDEX(Products!$S$3:$S$302,MATCH(A1123,Products!$A$3:$A$302,0)),"Product not found"),K1123-IF(L1123="Percentage",ROUND(K1123*N(M1123)/100,2),IF(L1123="Fixed amount",N(M1123),0))))</f>
        <v/>
      </c>
      <c r="O1123" s="17"/>
    </row>
    <row r="1124" spans="1:15" x14ac:dyDescent="0.3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8"/>
      <c r="L1124" s="16"/>
      <c r="M1124" s="16"/>
      <c r="N1124" s="19" t="str">
        <f>IF(A1124="","",IF(K1124="",IFERROR(INDEX(Products!$S$3:$S$302,MATCH(A1124,Products!$A$3:$A$302,0)),"Product not found"),K1124-IF(L1124="Percentage",ROUND(K1124*N(M1124)/100,2),IF(L1124="Fixed amount",N(M1124),0))))</f>
        <v/>
      </c>
      <c r="O1124" s="17"/>
    </row>
    <row r="1125" spans="1:15" x14ac:dyDescent="0.3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8"/>
      <c r="L1125" s="16"/>
      <c r="M1125" s="16"/>
      <c r="N1125" s="19" t="str">
        <f>IF(A1125="","",IF(K1125="",IFERROR(INDEX(Products!$S$3:$S$302,MATCH(A1125,Products!$A$3:$A$302,0)),"Product not found"),K1125-IF(L1125="Percentage",ROUND(K1125*N(M1125)/100,2),IF(L1125="Fixed amount",N(M1125),0))))</f>
        <v/>
      </c>
      <c r="O1125" s="17"/>
    </row>
    <row r="1126" spans="1:15" x14ac:dyDescent="0.3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8"/>
      <c r="L1126" s="16"/>
      <c r="M1126" s="16"/>
      <c r="N1126" s="19" t="str">
        <f>IF(A1126="","",IF(K1126="",IFERROR(INDEX(Products!$S$3:$S$302,MATCH(A1126,Products!$A$3:$A$302,0)),"Product not found"),K1126-IF(L1126="Percentage",ROUND(K1126*N(M1126)/100,2),IF(L1126="Fixed amount",N(M1126),0))))</f>
        <v/>
      </c>
      <c r="O1126" s="17"/>
    </row>
    <row r="1127" spans="1:15" x14ac:dyDescent="0.3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8"/>
      <c r="L1127" s="16"/>
      <c r="M1127" s="16"/>
      <c r="N1127" s="19" t="str">
        <f>IF(A1127="","",IF(K1127="",IFERROR(INDEX(Products!$S$3:$S$302,MATCH(A1127,Products!$A$3:$A$302,0)),"Product not found"),K1127-IF(L1127="Percentage",ROUND(K1127*N(M1127)/100,2),IF(L1127="Fixed amount",N(M1127),0))))</f>
        <v/>
      </c>
      <c r="O1127" s="17"/>
    </row>
    <row r="1128" spans="1:15" x14ac:dyDescent="0.3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8"/>
      <c r="L1128" s="16"/>
      <c r="M1128" s="16"/>
      <c r="N1128" s="19" t="str">
        <f>IF(A1128="","",IF(K1128="",IFERROR(INDEX(Products!$S$3:$S$302,MATCH(A1128,Products!$A$3:$A$302,0)),"Product not found"),K1128-IF(L1128="Percentage",ROUND(K1128*N(M1128)/100,2),IF(L1128="Fixed amount",N(M1128),0))))</f>
        <v/>
      </c>
      <c r="O1128" s="17"/>
    </row>
    <row r="1129" spans="1:15" x14ac:dyDescent="0.3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8"/>
      <c r="L1129" s="16"/>
      <c r="M1129" s="16"/>
      <c r="N1129" s="19" t="str">
        <f>IF(A1129="","",IF(K1129="",IFERROR(INDEX(Products!$S$3:$S$302,MATCH(A1129,Products!$A$3:$A$302,0)),"Product not found"),K1129-IF(L1129="Percentage",ROUND(K1129*N(M1129)/100,2),IF(L1129="Fixed amount",N(M1129),0))))</f>
        <v/>
      </c>
      <c r="O1129" s="17"/>
    </row>
    <row r="1130" spans="1:15" x14ac:dyDescent="0.3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8"/>
      <c r="L1130" s="16"/>
      <c r="M1130" s="16"/>
      <c r="N1130" s="19" t="str">
        <f>IF(A1130="","",IF(K1130="",IFERROR(INDEX(Products!$S$3:$S$302,MATCH(A1130,Products!$A$3:$A$302,0)),"Product not found"),K1130-IF(L1130="Percentage",ROUND(K1130*N(M1130)/100,2),IF(L1130="Fixed amount",N(M1130),0))))</f>
        <v/>
      </c>
      <c r="O1130" s="17"/>
    </row>
    <row r="1131" spans="1:15" x14ac:dyDescent="0.3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8"/>
      <c r="L1131" s="16"/>
      <c r="M1131" s="16"/>
      <c r="N1131" s="19" t="str">
        <f>IF(A1131="","",IF(K1131="",IFERROR(INDEX(Products!$S$3:$S$302,MATCH(A1131,Products!$A$3:$A$302,0)),"Product not found"),K1131-IF(L1131="Percentage",ROUND(K1131*N(M1131)/100,2),IF(L1131="Fixed amount",N(M1131),0))))</f>
        <v/>
      </c>
      <c r="O1131" s="17"/>
    </row>
    <row r="1132" spans="1:15" x14ac:dyDescent="0.3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8"/>
      <c r="L1132" s="16"/>
      <c r="M1132" s="16"/>
      <c r="N1132" s="19" t="str">
        <f>IF(A1132="","",IF(K1132="",IFERROR(INDEX(Products!$S$3:$S$302,MATCH(A1132,Products!$A$3:$A$302,0)),"Product not found"),K1132-IF(L1132="Percentage",ROUND(K1132*N(M1132)/100,2),IF(L1132="Fixed amount",N(M1132),0))))</f>
        <v/>
      </c>
      <c r="O1132" s="17"/>
    </row>
    <row r="1133" spans="1:15" x14ac:dyDescent="0.3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8"/>
      <c r="L1133" s="16"/>
      <c r="M1133" s="16"/>
      <c r="N1133" s="19" t="str">
        <f>IF(A1133="","",IF(K1133="",IFERROR(INDEX(Products!$S$3:$S$302,MATCH(A1133,Products!$A$3:$A$302,0)),"Product not found"),K1133-IF(L1133="Percentage",ROUND(K1133*N(M1133)/100,2),IF(L1133="Fixed amount",N(M1133),0))))</f>
        <v/>
      </c>
      <c r="O1133" s="17"/>
    </row>
    <row r="1134" spans="1:15" x14ac:dyDescent="0.3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8"/>
      <c r="L1134" s="16"/>
      <c r="M1134" s="16"/>
      <c r="N1134" s="19" t="str">
        <f>IF(A1134="","",IF(K1134="",IFERROR(INDEX(Products!$S$3:$S$302,MATCH(A1134,Products!$A$3:$A$302,0)),"Product not found"),K1134-IF(L1134="Percentage",ROUND(K1134*N(M1134)/100,2),IF(L1134="Fixed amount",N(M1134),0))))</f>
        <v/>
      </c>
      <c r="O1134" s="17"/>
    </row>
    <row r="1135" spans="1:15" x14ac:dyDescent="0.3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8"/>
      <c r="L1135" s="16"/>
      <c r="M1135" s="16"/>
      <c r="N1135" s="19" t="str">
        <f>IF(A1135="","",IF(K1135="",IFERROR(INDEX(Products!$S$3:$S$302,MATCH(A1135,Products!$A$3:$A$302,0)),"Product not found"),K1135-IF(L1135="Percentage",ROUND(K1135*N(M1135)/100,2),IF(L1135="Fixed amount",N(M1135),0))))</f>
        <v/>
      </c>
      <c r="O1135" s="17"/>
    </row>
    <row r="1136" spans="1:15" x14ac:dyDescent="0.3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8"/>
      <c r="L1136" s="16"/>
      <c r="M1136" s="16"/>
      <c r="N1136" s="19" t="str">
        <f>IF(A1136="","",IF(K1136="",IFERROR(INDEX(Products!$S$3:$S$302,MATCH(A1136,Products!$A$3:$A$302,0)),"Product not found"),K1136-IF(L1136="Percentage",ROUND(K1136*N(M1136)/100,2),IF(L1136="Fixed amount",N(M1136),0))))</f>
        <v/>
      </c>
      <c r="O1136" s="17"/>
    </row>
    <row r="1137" spans="1:15" x14ac:dyDescent="0.3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8"/>
      <c r="L1137" s="16"/>
      <c r="M1137" s="16"/>
      <c r="N1137" s="19" t="str">
        <f>IF(A1137="","",IF(K1137="",IFERROR(INDEX(Products!$S$3:$S$302,MATCH(A1137,Products!$A$3:$A$302,0)),"Product not found"),K1137-IF(L1137="Percentage",ROUND(K1137*N(M1137)/100,2),IF(L1137="Fixed amount",N(M1137),0))))</f>
        <v/>
      </c>
      <c r="O1137" s="17"/>
    </row>
    <row r="1138" spans="1:15" x14ac:dyDescent="0.3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8"/>
      <c r="L1138" s="16"/>
      <c r="M1138" s="16"/>
      <c r="N1138" s="19" t="str">
        <f>IF(A1138="","",IF(K1138="",IFERROR(INDEX(Products!$S$3:$S$302,MATCH(A1138,Products!$A$3:$A$302,0)),"Product not found"),K1138-IF(L1138="Percentage",ROUND(K1138*N(M1138)/100,2),IF(L1138="Fixed amount",N(M1138),0))))</f>
        <v/>
      </c>
      <c r="O1138" s="17"/>
    </row>
    <row r="1139" spans="1:15" x14ac:dyDescent="0.3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8"/>
      <c r="L1139" s="16"/>
      <c r="M1139" s="16"/>
      <c r="N1139" s="19" t="str">
        <f>IF(A1139="","",IF(K1139="",IFERROR(INDEX(Products!$S$3:$S$302,MATCH(A1139,Products!$A$3:$A$302,0)),"Product not found"),K1139-IF(L1139="Percentage",ROUND(K1139*N(M1139)/100,2),IF(L1139="Fixed amount",N(M1139),0))))</f>
        <v/>
      </c>
      <c r="O1139" s="17"/>
    </row>
    <row r="1140" spans="1:15" x14ac:dyDescent="0.3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8"/>
      <c r="L1140" s="16"/>
      <c r="M1140" s="16"/>
      <c r="N1140" s="19" t="str">
        <f>IF(A1140="","",IF(K1140="",IFERROR(INDEX(Products!$S$3:$S$302,MATCH(A1140,Products!$A$3:$A$302,0)),"Product not found"),K1140-IF(L1140="Percentage",ROUND(K1140*N(M1140)/100,2),IF(L1140="Fixed amount",N(M1140),0))))</f>
        <v/>
      </c>
      <c r="O1140" s="17"/>
    </row>
    <row r="1141" spans="1:15" x14ac:dyDescent="0.3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8"/>
      <c r="L1141" s="16"/>
      <c r="M1141" s="16"/>
      <c r="N1141" s="19" t="str">
        <f>IF(A1141="","",IF(K1141="",IFERROR(INDEX(Products!$S$3:$S$302,MATCH(A1141,Products!$A$3:$A$302,0)),"Product not found"),K1141-IF(L1141="Percentage",ROUND(K1141*N(M1141)/100,2),IF(L1141="Fixed amount",N(M1141),0))))</f>
        <v/>
      </c>
      <c r="O1141" s="17"/>
    </row>
    <row r="1142" spans="1:15" x14ac:dyDescent="0.3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8"/>
      <c r="L1142" s="16"/>
      <c r="M1142" s="16"/>
      <c r="N1142" s="19" t="str">
        <f>IF(A1142="","",IF(K1142="",IFERROR(INDEX(Products!$S$3:$S$302,MATCH(A1142,Products!$A$3:$A$302,0)),"Product not found"),K1142-IF(L1142="Percentage",ROUND(K1142*N(M1142)/100,2),IF(L1142="Fixed amount",N(M1142),0))))</f>
        <v/>
      </c>
      <c r="O1142" s="17"/>
    </row>
    <row r="1143" spans="1:15" x14ac:dyDescent="0.3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8"/>
      <c r="L1143" s="16"/>
      <c r="M1143" s="16"/>
      <c r="N1143" s="19" t="str">
        <f>IF(A1143="","",IF(K1143="",IFERROR(INDEX(Products!$S$3:$S$302,MATCH(A1143,Products!$A$3:$A$302,0)),"Product not found"),K1143-IF(L1143="Percentage",ROUND(K1143*N(M1143)/100,2),IF(L1143="Fixed amount",N(M1143),0))))</f>
        <v/>
      </c>
      <c r="O1143" s="17"/>
    </row>
    <row r="1144" spans="1:15" x14ac:dyDescent="0.3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8"/>
      <c r="L1144" s="16"/>
      <c r="M1144" s="16"/>
      <c r="N1144" s="19" t="str">
        <f>IF(A1144="","",IF(K1144="",IFERROR(INDEX(Products!$S$3:$S$302,MATCH(A1144,Products!$A$3:$A$302,0)),"Product not found"),K1144-IF(L1144="Percentage",ROUND(K1144*N(M1144)/100,2),IF(L1144="Fixed amount",N(M1144),0))))</f>
        <v/>
      </c>
      <c r="O1144" s="17"/>
    </row>
    <row r="1145" spans="1:15" x14ac:dyDescent="0.3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8"/>
      <c r="L1145" s="16"/>
      <c r="M1145" s="16"/>
      <c r="N1145" s="19" t="str">
        <f>IF(A1145="","",IF(K1145="",IFERROR(INDEX(Products!$S$3:$S$302,MATCH(A1145,Products!$A$3:$A$302,0)),"Product not found"),K1145-IF(L1145="Percentage",ROUND(K1145*N(M1145)/100,2),IF(L1145="Fixed amount",N(M1145),0))))</f>
        <v/>
      </c>
      <c r="O1145" s="17"/>
    </row>
    <row r="1146" spans="1:15" x14ac:dyDescent="0.3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8"/>
      <c r="L1146" s="16"/>
      <c r="M1146" s="16"/>
      <c r="N1146" s="19" t="str">
        <f>IF(A1146="","",IF(K1146="",IFERROR(INDEX(Products!$S$3:$S$302,MATCH(A1146,Products!$A$3:$A$302,0)),"Product not found"),K1146-IF(L1146="Percentage",ROUND(K1146*N(M1146)/100,2),IF(L1146="Fixed amount",N(M1146),0))))</f>
        <v/>
      </c>
      <c r="O1146" s="17"/>
    </row>
    <row r="1147" spans="1:15" x14ac:dyDescent="0.3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8"/>
      <c r="L1147" s="16"/>
      <c r="M1147" s="16"/>
      <c r="N1147" s="19" t="str">
        <f>IF(A1147="","",IF(K1147="",IFERROR(INDEX(Products!$S$3:$S$302,MATCH(A1147,Products!$A$3:$A$302,0)),"Product not found"),K1147-IF(L1147="Percentage",ROUND(K1147*N(M1147)/100,2),IF(L1147="Fixed amount",N(M1147),0))))</f>
        <v/>
      </c>
      <c r="O1147" s="17"/>
    </row>
    <row r="1148" spans="1:15" x14ac:dyDescent="0.3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8"/>
      <c r="L1148" s="16"/>
      <c r="M1148" s="16"/>
      <c r="N1148" s="19" t="str">
        <f>IF(A1148="","",IF(K1148="",IFERROR(INDEX(Products!$S$3:$S$302,MATCH(A1148,Products!$A$3:$A$302,0)),"Product not found"),K1148-IF(L1148="Percentage",ROUND(K1148*N(M1148)/100,2),IF(L1148="Fixed amount",N(M1148),0))))</f>
        <v/>
      </c>
      <c r="O1148" s="17"/>
    </row>
    <row r="1149" spans="1:15" x14ac:dyDescent="0.3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8"/>
      <c r="L1149" s="16"/>
      <c r="M1149" s="16"/>
      <c r="N1149" s="19" t="str">
        <f>IF(A1149="","",IF(K1149="",IFERROR(INDEX(Products!$S$3:$S$302,MATCH(A1149,Products!$A$3:$A$302,0)),"Product not found"),K1149-IF(L1149="Percentage",ROUND(K1149*N(M1149)/100,2),IF(L1149="Fixed amount",N(M1149),0))))</f>
        <v/>
      </c>
      <c r="O1149" s="17"/>
    </row>
    <row r="1150" spans="1:15" x14ac:dyDescent="0.3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8"/>
      <c r="L1150" s="16"/>
      <c r="M1150" s="16"/>
      <c r="N1150" s="19" t="str">
        <f>IF(A1150="","",IF(K1150="",IFERROR(INDEX(Products!$S$3:$S$302,MATCH(A1150,Products!$A$3:$A$302,0)),"Product not found"),K1150-IF(L1150="Percentage",ROUND(K1150*N(M1150)/100,2),IF(L1150="Fixed amount",N(M1150),0))))</f>
        <v/>
      </c>
      <c r="O1150" s="17"/>
    </row>
    <row r="1151" spans="1:15" x14ac:dyDescent="0.3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8"/>
      <c r="L1151" s="16"/>
      <c r="M1151" s="16"/>
      <c r="N1151" s="19" t="str">
        <f>IF(A1151="","",IF(K1151="",IFERROR(INDEX(Products!$S$3:$S$302,MATCH(A1151,Products!$A$3:$A$302,0)),"Product not found"),K1151-IF(L1151="Percentage",ROUND(K1151*N(M1151)/100,2),IF(L1151="Fixed amount",N(M1151),0))))</f>
        <v/>
      </c>
      <c r="O1151" s="17"/>
    </row>
    <row r="1152" spans="1:15" x14ac:dyDescent="0.3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8"/>
      <c r="L1152" s="16"/>
      <c r="M1152" s="16"/>
      <c r="N1152" s="19" t="str">
        <f>IF(A1152="","",IF(K1152="",IFERROR(INDEX(Products!$S$3:$S$302,MATCH(A1152,Products!$A$3:$A$302,0)),"Product not found"),K1152-IF(L1152="Percentage",ROUND(K1152*N(M1152)/100,2),IF(L1152="Fixed amount",N(M1152),0))))</f>
        <v/>
      </c>
      <c r="O1152" s="17"/>
    </row>
    <row r="1153" spans="1:15" x14ac:dyDescent="0.3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8"/>
      <c r="L1153" s="16"/>
      <c r="M1153" s="16"/>
      <c r="N1153" s="19" t="str">
        <f>IF(A1153="","",IF(K1153="",IFERROR(INDEX(Products!$S$3:$S$302,MATCH(A1153,Products!$A$3:$A$302,0)),"Product not found"),K1153-IF(L1153="Percentage",ROUND(K1153*N(M1153)/100,2),IF(L1153="Fixed amount",N(M1153),0))))</f>
        <v/>
      </c>
      <c r="O1153" s="17"/>
    </row>
    <row r="1154" spans="1:15" x14ac:dyDescent="0.3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8"/>
      <c r="L1154" s="16"/>
      <c r="M1154" s="16"/>
      <c r="N1154" s="19" t="str">
        <f>IF(A1154="","",IF(K1154="",IFERROR(INDEX(Products!$S$3:$S$302,MATCH(A1154,Products!$A$3:$A$302,0)),"Product not found"),K1154-IF(L1154="Percentage",ROUND(K1154*N(M1154)/100,2),IF(L1154="Fixed amount",N(M1154),0))))</f>
        <v/>
      </c>
      <c r="O1154" s="17"/>
    </row>
    <row r="1155" spans="1:15" x14ac:dyDescent="0.3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8"/>
      <c r="L1155" s="16"/>
      <c r="M1155" s="16"/>
      <c r="N1155" s="19" t="str">
        <f>IF(A1155="","",IF(K1155="",IFERROR(INDEX(Products!$S$3:$S$302,MATCH(A1155,Products!$A$3:$A$302,0)),"Product not found"),K1155-IF(L1155="Percentage",ROUND(K1155*N(M1155)/100,2),IF(L1155="Fixed amount",N(M1155),0))))</f>
        <v/>
      </c>
      <c r="O1155" s="17"/>
    </row>
    <row r="1156" spans="1:15" x14ac:dyDescent="0.3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8"/>
      <c r="L1156" s="16"/>
      <c r="M1156" s="16"/>
      <c r="N1156" s="19" t="str">
        <f>IF(A1156="","",IF(K1156="",IFERROR(INDEX(Products!$S$3:$S$302,MATCH(A1156,Products!$A$3:$A$302,0)),"Product not found"),K1156-IF(L1156="Percentage",ROUND(K1156*N(M1156)/100,2),IF(L1156="Fixed amount",N(M1156),0))))</f>
        <v/>
      </c>
      <c r="O1156" s="17"/>
    </row>
    <row r="1157" spans="1:15" x14ac:dyDescent="0.3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8"/>
      <c r="L1157" s="16"/>
      <c r="M1157" s="16"/>
      <c r="N1157" s="19" t="str">
        <f>IF(A1157="","",IF(K1157="",IFERROR(INDEX(Products!$S$3:$S$302,MATCH(A1157,Products!$A$3:$A$302,0)),"Product not found"),K1157-IF(L1157="Percentage",ROUND(K1157*N(M1157)/100,2),IF(L1157="Fixed amount",N(M1157),0))))</f>
        <v/>
      </c>
      <c r="O1157" s="17"/>
    </row>
    <row r="1158" spans="1:15" x14ac:dyDescent="0.3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8"/>
      <c r="L1158" s="16"/>
      <c r="M1158" s="16"/>
      <c r="N1158" s="19" t="str">
        <f>IF(A1158="","",IF(K1158="",IFERROR(INDEX(Products!$S$3:$S$302,MATCH(A1158,Products!$A$3:$A$302,0)),"Product not found"),K1158-IF(L1158="Percentage",ROUND(K1158*N(M1158)/100,2),IF(L1158="Fixed amount",N(M1158),0))))</f>
        <v/>
      </c>
      <c r="O1158" s="17"/>
    </row>
    <row r="1159" spans="1:15" x14ac:dyDescent="0.3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8"/>
      <c r="L1159" s="16"/>
      <c r="M1159" s="16"/>
      <c r="N1159" s="19" t="str">
        <f>IF(A1159="","",IF(K1159="",IFERROR(INDEX(Products!$S$3:$S$302,MATCH(A1159,Products!$A$3:$A$302,0)),"Product not found"),K1159-IF(L1159="Percentage",ROUND(K1159*N(M1159)/100,2),IF(L1159="Fixed amount",N(M1159),0))))</f>
        <v/>
      </c>
      <c r="O1159" s="17"/>
    </row>
    <row r="1160" spans="1:15" x14ac:dyDescent="0.3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8"/>
      <c r="L1160" s="16"/>
      <c r="M1160" s="16"/>
      <c r="N1160" s="19" t="str">
        <f>IF(A1160="","",IF(K1160="",IFERROR(INDEX(Products!$S$3:$S$302,MATCH(A1160,Products!$A$3:$A$302,0)),"Product not found"),K1160-IF(L1160="Percentage",ROUND(K1160*N(M1160)/100,2),IF(L1160="Fixed amount",N(M1160),0))))</f>
        <v/>
      </c>
      <c r="O1160" s="17"/>
    </row>
    <row r="1161" spans="1:15" x14ac:dyDescent="0.3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8"/>
      <c r="L1161" s="16"/>
      <c r="M1161" s="16"/>
      <c r="N1161" s="19" t="str">
        <f>IF(A1161="","",IF(K1161="",IFERROR(INDEX(Products!$S$3:$S$302,MATCH(A1161,Products!$A$3:$A$302,0)),"Product not found"),K1161-IF(L1161="Percentage",ROUND(K1161*N(M1161)/100,2),IF(L1161="Fixed amount",N(M1161),0))))</f>
        <v/>
      </c>
      <c r="O1161" s="17"/>
    </row>
    <row r="1162" spans="1:15" x14ac:dyDescent="0.3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8"/>
      <c r="L1162" s="16"/>
      <c r="M1162" s="16"/>
      <c r="N1162" s="19" t="str">
        <f>IF(A1162="","",IF(K1162="",IFERROR(INDEX(Products!$S$3:$S$302,MATCH(A1162,Products!$A$3:$A$302,0)),"Product not found"),K1162-IF(L1162="Percentage",ROUND(K1162*N(M1162)/100,2),IF(L1162="Fixed amount",N(M1162),0))))</f>
        <v/>
      </c>
      <c r="O1162" s="17"/>
    </row>
    <row r="1163" spans="1:15" x14ac:dyDescent="0.3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8"/>
      <c r="L1163" s="16"/>
      <c r="M1163" s="16"/>
      <c r="N1163" s="19" t="str">
        <f>IF(A1163="","",IF(K1163="",IFERROR(INDEX(Products!$S$3:$S$302,MATCH(A1163,Products!$A$3:$A$302,0)),"Product not found"),K1163-IF(L1163="Percentage",ROUND(K1163*N(M1163)/100,2),IF(L1163="Fixed amount",N(M1163),0))))</f>
        <v/>
      </c>
      <c r="O1163" s="17"/>
    </row>
    <row r="1164" spans="1:15" x14ac:dyDescent="0.3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8"/>
      <c r="L1164" s="16"/>
      <c r="M1164" s="16"/>
      <c r="N1164" s="19" t="str">
        <f>IF(A1164="","",IF(K1164="",IFERROR(INDEX(Products!$S$3:$S$302,MATCH(A1164,Products!$A$3:$A$302,0)),"Product not found"),K1164-IF(L1164="Percentage",ROUND(K1164*N(M1164)/100,2),IF(L1164="Fixed amount",N(M1164),0))))</f>
        <v/>
      </c>
      <c r="O1164" s="17"/>
    </row>
    <row r="1165" spans="1:15" x14ac:dyDescent="0.3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8"/>
      <c r="L1165" s="16"/>
      <c r="M1165" s="16"/>
      <c r="N1165" s="19" t="str">
        <f>IF(A1165="","",IF(K1165="",IFERROR(INDEX(Products!$S$3:$S$302,MATCH(A1165,Products!$A$3:$A$302,0)),"Product not found"),K1165-IF(L1165="Percentage",ROUND(K1165*N(M1165)/100,2),IF(L1165="Fixed amount",N(M1165),0))))</f>
        <v/>
      </c>
      <c r="O1165" s="17"/>
    </row>
    <row r="1166" spans="1:15" x14ac:dyDescent="0.3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8"/>
      <c r="L1166" s="16"/>
      <c r="M1166" s="16"/>
      <c r="N1166" s="19" t="str">
        <f>IF(A1166="","",IF(K1166="",IFERROR(INDEX(Products!$S$3:$S$302,MATCH(A1166,Products!$A$3:$A$302,0)),"Product not found"),K1166-IF(L1166="Percentage",ROUND(K1166*N(M1166)/100,2),IF(L1166="Fixed amount",N(M1166),0))))</f>
        <v/>
      </c>
      <c r="O1166" s="17"/>
    </row>
    <row r="1167" spans="1:15" x14ac:dyDescent="0.3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8"/>
      <c r="L1167" s="16"/>
      <c r="M1167" s="16"/>
      <c r="N1167" s="19" t="str">
        <f>IF(A1167="","",IF(K1167="",IFERROR(INDEX(Products!$S$3:$S$302,MATCH(A1167,Products!$A$3:$A$302,0)),"Product not found"),K1167-IF(L1167="Percentage",ROUND(K1167*N(M1167)/100,2),IF(L1167="Fixed amount",N(M1167),0))))</f>
        <v/>
      </c>
      <c r="O1167" s="17"/>
    </row>
    <row r="1168" spans="1:15" x14ac:dyDescent="0.3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8"/>
      <c r="L1168" s="16"/>
      <c r="M1168" s="16"/>
      <c r="N1168" s="19" t="str">
        <f>IF(A1168="","",IF(K1168="",IFERROR(INDEX(Products!$S$3:$S$302,MATCH(A1168,Products!$A$3:$A$302,0)),"Product not found"),K1168-IF(L1168="Percentage",ROUND(K1168*N(M1168)/100,2),IF(L1168="Fixed amount",N(M1168),0))))</f>
        <v/>
      </c>
      <c r="O1168" s="17"/>
    </row>
    <row r="1169" spans="1:15" x14ac:dyDescent="0.3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8"/>
      <c r="L1169" s="16"/>
      <c r="M1169" s="16"/>
      <c r="N1169" s="19" t="str">
        <f>IF(A1169="","",IF(K1169="",IFERROR(INDEX(Products!$S$3:$S$302,MATCH(A1169,Products!$A$3:$A$302,0)),"Product not found"),K1169-IF(L1169="Percentage",ROUND(K1169*N(M1169)/100,2),IF(L1169="Fixed amount",N(M1169),0))))</f>
        <v/>
      </c>
      <c r="O1169" s="17"/>
    </row>
    <row r="1170" spans="1:15" x14ac:dyDescent="0.3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8"/>
      <c r="L1170" s="16"/>
      <c r="M1170" s="16"/>
      <c r="N1170" s="19" t="str">
        <f>IF(A1170="","",IF(K1170="",IFERROR(INDEX(Products!$S$3:$S$302,MATCH(A1170,Products!$A$3:$A$302,0)),"Product not found"),K1170-IF(L1170="Percentage",ROUND(K1170*N(M1170)/100,2),IF(L1170="Fixed amount",N(M1170),0))))</f>
        <v/>
      </c>
      <c r="O1170" s="17"/>
    </row>
    <row r="1171" spans="1:15" x14ac:dyDescent="0.3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8"/>
      <c r="L1171" s="16"/>
      <c r="M1171" s="16"/>
      <c r="N1171" s="19" t="str">
        <f>IF(A1171="","",IF(K1171="",IFERROR(INDEX(Products!$S$3:$S$302,MATCH(A1171,Products!$A$3:$A$302,0)),"Product not found"),K1171-IF(L1171="Percentage",ROUND(K1171*N(M1171)/100,2),IF(L1171="Fixed amount",N(M1171),0))))</f>
        <v/>
      </c>
      <c r="O1171" s="17"/>
    </row>
    <row r="1172" spans="1:15" x14ac:dyDescent="0.3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8"/>
      <c r="L1172" s="16"/>
      <c r="M1172" s="16"/>
      <c r="N1172" s="19" t="str">
        <f>IF(A1172="","",IF(K1172="",IFERROR(INDEX(Products!$S$3:$S$302,MATCH(A1172,Products!$A$3:$A$302,0)),"Product not found"),K1172-IF(L1172="Percentage",ROUND(K1172*N(M1172)/100,2),IF(L1172="Fixed amount",N(M1172),0))))</f>
        <v/>
      </c>
      <c r="O1172" s="17"/>
    </row>
    <row r="1173" spans="1:15" x14ac:dyDescent="0.3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8"/>
      <c r="L1173" s="16"/>
      <c r="M1173" s="16"/>
      <c r="N1173" s="19" t="str">
        <f>IF(A1173="","",IF(K1173="",IFERROR(INDEX(Products!$S$3:$S$302,MATCH(A1173,Products!$A$3:$A$302,0)),"Product not found"),K1173-IF(L1173="Percentage",ROUND(K1173*N(M1173)/100,2),IF(L1173="Fixed amount",N(M1173),0))))</f>
        <v/>
      </c>
      <c r="O1173" s="17"/>
    </row>
    <row r="1174" spans="1:15" x14ac:dyDescent="0.3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8"/>
      <c r="L1174" s="16"/>
      <c r="M1174" s="16"/>
      <c r="N1174" s="19" t="str">
        <f>IF(A1174="","",IF(K1174="",IFERROR(INDEX(Products!$S$3:$S$302,MATCH(A1174,Products!$A$3:$A$302,0)),"Product not found"),K1174-IF(L1174="Percentage",ROUND(K1174*N(M1174)/100,2),IF(L1174="Fixed amount",N(M1174),0))))</f>
        <v/>
      </c>
      <c r="O1174" s="17"/>
    </row>
    <row r="1175" spans="1:15" x14ac:dyDescent="0.3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8"/>
      <c r="L1175" s="16"/>
      <c r="M1175" s="16"/>
      <c r="N1175" s="19" t="str">
        <f>IF(A1175="","",IF(K1175="",IFERROR(INDEX(Products!$S$3:$S$302,MATCH(A1175,Products!$A$3:$A$302,0)),"Product not found"),K1175-IF(L1175="Percentage",ROUND(K1175*N(M1175)/100,2),IF(L1175="Fixed amount",N(M1175),0))))</f>
        <v/>
      </c>
      <c r="O1175" s="17"/>
    </row>
    <row r="1176" spans="1:15" x14ac:dyDescent="0.3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8"/>
      <c r="L1176" s="16"/>
      <c r="M1176" s="16"/>
      <c r="N1176" s="19" t="str">
        <f>IF(A1176="","",IF(K1176="",IFERROR(INDEX(Products!$S$3:$S$302,MATCH(A1176,Products!$A$3:$A$302,0)),"Product not found"),K1176-IF(L1176="Percentage",ROUND(K1176*N(M1176)/100,2),IF(L1176="Fixed amount",N(M1176),0))))</f>
        <v/>
      </c>
      <c r="O1176" s="17"/>
    </row>
    <row r="1177" spans="1:15" x14ac:dyDescent="0.3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8"/>
      <c r="L1177" s="16"/>
      <c r="M1177" s="16"/>
      <c r="N1177" s="19" t="str">
        <f>IF(A1177="","",IF(K1177="",IFERROR(INDEX(Products!$S$3:$S$302,MATCH(A1177,Products!$A$3:$A$302,0)),"Product not found"),K1177-IF(L1177="Percentage",ROUND(K1177*N(M1177)/100,2),IF(L1177="Fixed amount",N(M1177),0))))</f>
        <v/>
      </c>
      <c r="O1177" s="17"/>
    </row>
    <row r="1178" spans="1:15" x14ac:dyDescent="0.3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8"/>
      <c r="L1178" s="16"/>
      <c r="M1178" s="16"/>
      <c r="N1178" s="19" t="str">
        <f>IF(A1178="","",IF(K1178="",IFERROR(INDEX(Products!$S$3:$S$302,MATCH(A1178,Products!$A$3:$A$302,0)),"Product not found"),K1178-IF(L1178="Percentage",ROUND(K1178*N(M1178)/100,2),IF(L1178="Fixed amount",N(M1178),0))))</f>
        <v/>
      </c>
      <c r="O1178" s="17"/>
    </row>
    <row r="1179" spans="1:15" x14ac:dyDescent="0.3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8"/>
      <c r="L1179" s="16"/>
      <c r="M1179" s="16"/>
      <c r="N1179" s="19" t="str">
        <f>IF(A1179="","",IF(K1179="",IFERROR(INDEX(Products!$S$3:$S$302,MATCH(A1179,Products!$A$3:$A$302,0)),"Product not found"),K1179-IF(L1179="Percentage",ROUND(K1179*N(M1179)/100,2),IF(L1179="Fixed amount",N(M1179),0))))</f>
        <v/>
      </c>
      <c r="O1179" s="17"/>
    </row>
    <row r="1180" spans="1:15" x14ac:dyDescent="0.3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8"/>
      <c r="L1180" s="16"/>
      <c r="M1180" s="16"/>
      <c r="N1180" s="19" t="str">
        <f>IF(A1180="","",IF(K1180="",IFERROR(INDEX(Products!$S$3:$S$302,MATCH(A1180,Products!$A$3:$A$302,0)),"Product not found"),K1180-IF(L1180="Percentage",ROUND(K1180*N(M1180)/100,2),IF(L1180="Fixed amount",N(M1180),0))))</f>
        <v/>
      </c>
      <c r="O1180" s="17"/>
    </row>
    <row r="1181" spans="1:15" x14ac:dyDescent="0.3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8"/>
      <c r="L1181" s="16"/>
      <c r="M1181" s="16"/>
      <c r="N1181" s="19" t="str">
        <f>IF(A1181="","",IF(K1181="",IFERROR(INDEX(Products!$S$3:$S$302,MATCH(A1181,Products!$A$3:$A$302,0)),"Product not found"),K1181-IF(L1181="Percentage",ROUND(K1181*N(M1181)/100,2),IF(L1181="Fixed amount",N(M1181),0))))</f>
        <v/>
      </c>
      <c r="O1181" s="17"/>
    </row>
    <row r="1182" spans="1:15" x14ac:dyDescent="0.3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8"/>
      <c r="L1182" s="16"/>
      <c r="M1182" s="16"/>
      <c r="N1182" s="19" t="str">
        <f>IF(A1182="","",IF(K1182="",IFERROR(INDEX(Products!$S$3:$S$302,MATCH(A1182,Products!$A$3:$A$302,0)),"Product not found"),K1182-IF(L1182="Percentage",ROUND(K1182*N(M1182)/100,2),IF(L1182="Fixed amount",N(M1182),0))))</f>
        <v/>
      </c>
      <c r="O1182" s="17"/>
    </row>
    <row r="1183" spans="1:15" x14ac:dyDescent="0.3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8"/>
      <c r="L1183" s="16"/>
      <c r="M1183" s="16"/>
      <c r="N1183" s="19" t="str">
        <f>IF(A1183="","",IF(K1183="",IFERROR(INDEX(Products!$S$3:$S$302,MATCH(A1183,Products!$A$3:$A$302,0)),"Product not found"),K1183-IF(L1183="Percentage",ROUND(K1183*N(M1183)/100,2),IF(L1183="Fixed amount",N(M1183),0))))</f>
        <v/>
      </c>
      <c r="O1183" s="17"/>
    </row>
    <row r="1184" spans="1:15" x14ac:dyDescent="0.3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8"/>
      <c r="L1184" s="16"/>
      <c r="M1184" s="16"/>
      <c r="N1184" s="19" t="str">
        <f>IF(A1184="","",IF(K1184="",IFERROR(INDEX(Products!$S$3:$S$302,MATCH(A1184,Products!$A$3:$A$302,0)),"Product not found"),K1184-IF(L1184="Percentage",ROUND(K1184*N(M1184)/100,2),IF(L1184="Fixed amount",N(M1184),0))))</f>
        <v/>
      </c>
      <c r="O1184" s="17"/>
    </row>
    <row r="1185" spans="1:15" x14ac:dyDescent="0.3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8"/>
      <c r="L1185" s="16"/>
      <c r="M1185" s="16"/>
      <c r="N1185" s="19" t="str">
        <f>IF(A1185="","",IF(K1185="",IFERROR(INDEX(Products!$S$3:$S$302,MATCH(A1185,Products!$A$3:$A$302,0)),"Product not found"),K1185-IF(L1185="Percentage",ROUND(K1185*N(M1185)/100,2),IF(L1185="Fixed amount",N(M1185),0))))</f>
        <v/>
      </c>
      <c r="O1185" s="17"/>
    </row>
    <row r="1186" spans="1:15" x14ac:dyDescent="0.3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8"/>
      <c r="L1186" s="16"/>
      <c r="M1186" s="16"/>
      <c r="N1186" s="19" t="str">
        <f>IF(A1186="","",IF(K1186="",IFERROR(INDEX(Products!$S$3:$S$302,MATCH(A1186,Products!$A$3:$A$302,0)),"Product not found"),K1186-IF(L1186="Percentage",ROUND(K1186*N(M1186)/100,2),IF(L1186="Fixed amount",N(M1186),0))))</f>
        <v/>
      </c>
      <c r="O1186" s="17"/>
    </row>
    <row r="1187" spans="1:15" x14ac:dyDescent="0.3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8"/>
      <c r="L1187" s="16"/>
      <c r="M1187" s="16"/>
      <c r="N1187" s="19" t="str">
        <f>IF(A1187="","",IF(K1187="",IFERROR(INDEX(Products!$S$3:$S$302,MATCH(A1187,Products!$A$3:$A$302,0)),"Product not found"),K1187-IF(L1187="Percentage",ROUND(K1187*N(M1187)/100,2),IF(L1187="Fixed amount",N(M1187),0))))</f>
        <v/>
      </c>
      <c r="O1187" s="17"/>
    </row>
    <row r="1188" spans="1:15" x14ac:dyDescent="0.3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8"/>
      <c r="L1188" s="16"/>
      <c r="M1188" s="16"/>
      <c r="N1188" s="19" t="str">
        <f>IF(A1188="","",IF(K1188="",IFERROR(INDEX(Products!$S$3:$S$302,MATCH(A1188,Products!$A$3:$A$302,0)),"Product not found"),K1188-IF(L1188="Percentage",ROUND(K1188*N(M1188)/100,2),IF(L1188="Fixed amount",N(M1188),0))))</f>
        <v/>
      </c>
      <c r="O1188" s="17"/>
    </row>
    <row r="1189" spans="1:15" x14ac:dyDescent="0.3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8"/>
      <c r="L1189" s="16"/>
      <c r="M1189" s="16"/>
      <c r="N1189" s="19" t="str">
        <f>IF(A1189="","",IF(K1189="",IFERROR(INDEX(Products!$S$3:$S$302,MATCH(A1189,Products!$A$3:$A$302,0)),"Product not found"),K1189-IF(L1189="Percentage",ROUND(K1189*N(M1189)/100,2),IF(L1189="Fixed amount",N(M1189),0))))</f>
        <v/>
      </c>
      <c r="O1189" s="17"/>
    </row>
    <row r="1190" spans="1:15" x14ac:dyDescent="0.3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8"/>
      <c r="L1190" s="16"/>
      <c r="M1190" s="16"/>
      <c r="N1190" s="19" t="str">
        <f>IF(A1190="","",IF(K1190="",IFERROR(INDEX(Products!$S$3:$S$302,MATCH(A1190,Products!$A$3:$A$302,0)),"Product not found"),K1190-IF(L1190="Percentage",ROUND(K1190*N(M1190)/100,2),IF(L1190="Fixed amount",N(M1190),0))))</f>
        <v/>
      </c>
      <c r="O1190" s="17"/>
    </row>
    <row r="1191" spans="1:15" x14ac:dyDescent="0.3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8"/>
      <c r="L1191" s="16"/>
      <c r="M1191" s="16"/>
      <c r="N1191" s="19" t="str">
        <f>IF(A1191="","",IF(K1191="",IFERROR(INDEX(Products!$S$3:$S$302,MATCH(A1191,Products!$A$3:$A$302,0)),"Product not found"),K1191-IF(L1191="Percentage",ROUND(K1191*N(M1191)/100,2),IF(L1191="Fixed amount",N(M1191),0))))</f>
        <v/>
      </c>
      <c r="O1191" s="17"/>
    </row>
    <row r="1192" spans="1:15" x14ac:dyDescent="0.3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8"/>
      <c r="L1192" s="16"/>
      <c r="M1192" s="16"/>
      <c r="N1192" s="19" t="str">
        <f>IF(A1192="","",IF(K1192="",IFERROR(INDEX(Products!$S$3:$S$302,MATCH(A1192,Products!$A$3:$A$302,0)),"Product not found"),K1192-IF(L1192="Percentage",ROUND(K1192*N(M1192)/100,2),IF(L1192="Fixed amount",N(M1192),0))))</f>
        <v/>
      </c>
      <c r="O1192" s="17"/>
    </row>
    <row r="1193" spans="1:15" x14ac:dyDescent="0.3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8"/>
      <c r="L1193" s="16"/>
      <c r="M1193" s="16"/>
      <c r="N1193" s="19" t="str">
        <f>IF(A1193="","",IF(K1193="",IFERROR(INDEX(Products!$S$3:$S$302,MATCH(A1193,Products!$A$3:$A$302,0)),"Product not found"),K1193-IF(L1193="Percentage",ROUND(K1193*N(M1193)/100,2),IF(L1193="Fixed amount",N(M1193),0))))</f>
        <v/>
      </c>
      <c r="O1193" s="17"/>
    </row>
    <row r="1194" spans="1:15" x14ac:dyDescent="0.3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8"/>
      <c r="L1194" s="16"/>
      <c r="M1194" s="16"/>
      <c r="N1194" s="19" t="str">
        <f>IF(A1194="","",IF(K1194="",IFERROR(INDEX(Products!$S$3:$S$302,MATCH(A1194,Products!$A$3:$A$302,0)),"Product not found"),K1194-IF(L1194="Percentage",ROUND(K1194*N(M1194)/100,2),IF(L1194="Fixed amount",N(M1194),0))))</f>
        <v/>
      </c>
      <c r="O1194" s="17"/>
    </row>
    <row r="1195" spans="1:15" x14ac:dyDescent="0.3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8"/>
      <c r="L1195" s="16"/>
      <c r="M1195" s="16"/>
      <c r="N1195" s="19" t="str">
        <f>IF(A1195="","",IF(K1195="",IFERROR(INDEX(Products!$S$3:$S$302,MATCH(A1195,Products!$A$3:$A$302,0)),"Product not found"),K1195-IF(L1195="Percentage",ROUND(K1195*N(M1195)/100,2),IF(L1195="Fixed amount",N(M1195),0))))</f>
        <v/>
      </c>
      <c r="O1195" s="17"/>
    </row>
    <row r="1196" spans="1:15" x14ac:dyDescent="0.3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8"/>
      <c r="L1196" s="16"/>
      <c r="M1196" s="16"/>
      <c r="N1196" s="19" t="str">
        <f>IF(A1196="","",IF(K1196="",IFERROR(INDEX(Products!$S$3:$S$302,MATCH(A1196,Products!$A$3:$A$302,0)),"Product not found"),K1196-IF(L1196="Percentage",ROUND(K1196*N(M1196)/100,2),IF(L1196="Fixed amount",N(M1196),0))))</f>
        <v/>
      </c>
      <c r="O1196" s="17"/>
    </row>
    <row r="1197" spans="1:15" x14ac:dyDescent="0.3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8"/>
      <c r="L1197" s="16"/>
      <c r="M1197" s="16"/>
      <c r="N1197" s="19" t="str">
        <f>IF(A1197="","",IF(K1197="",IFERROR(INDEX(Products!$S$3:$S$302,MATCH(A1197,Products!$A$3:$A$302,0)),"Product not found"),K1197-IF(L1197="Percentage",ROUND(K1197*N(M1197)/100,2),IF(L1197="Fixed amount",N(M1197),0))))</f>
        <v/>
      </c>
      <c r="O1197" s="17"/>
    </row>
    <row r="1198" spans="1:15" x14ac:dyDescent="0.3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8"/>
      <c r="L1198" s="16"/>
      <c r="M1198" s="16"/>
      <c r="N1198" s="19" t="str">
        <f>IF(A1198="","",IF(K1198="",IFERROR(INDEX(Products!$S$3:$S$302,MATCH(A1198,Products!$A$3:$A$302,0)),"Product not found"),K1198-IF(L1198="Percentage",ROUND(K1198*N(M1198)/100,2),IF(L1198="Fixed amount",N(M1198),0))))</f>
        <v/>
      </c>
      <c r="O1198" s="17"/>
    </row>
    <row r="1199" spans="1:15" x14ac:dyDescent="0.3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8"/>
      <c r="L1199" s="16"/>
      <c r="M1199" s="16"/>
      <c r="N1199" s="19" t="str">
        <f>IF(A1199="","",IF(K1199="",IFERROR(INDEX(Products!$S$3:$S$302,MATCH(A1199,Products!$A$3:$A$302,0)),"Product not found"),K1199-IF(L1199="Percentage",ROUND(K1199*N(M1199)/100,2),IF(L1199="Fixed amount",N(M1199),0))))</f>
        <v/>
      </c>
      <c r="O1199" s="17"/>
    </row>
    <row r="1200" spans="1:15" x14ac:dyDescent="0.3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8"/>
      <c r="L1200" s="16"/>
      <c r="M1200" s="16"/>
      <c r="N1200" s="19" t="str">
        <f>IF(A1200="","",IF(K1200="",IFERROR(INDEX(Products!$S$3:$S$302,MATCH(A1200,Products!$A$3:$A$302,0)),"Product not found"),K1200-IF(L1200="Percentage",ROUND(K1200*N(M1200)/100,2),IF(L1200="Fixed amount",N(M1200),0))))</f>
        <v/>
      </c>
      <c r="O1200" s="17"/>
    </row>
    <row r="1201" spans="1:15" x14ac:dyDescent="0.3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8"/>
      <c r="L1201" s="16"/>
      <c r="M1201" s="16"/>
      <c r="N1201" s="19" t="str">
        <f>IF(A1201="","",IF(K1201="",IFERROR(INDEX(Products!$S$3:$S$302,MATCH(A1201,Products!$A$3:$A$302,0)),"Product not found"),K1201-IF(L1201="Percentage",ROUND(K1201*N(M1201)/100,2),IF(L1201="Fixed amount",N(M1201),0))))</f>
        <v/>
      </c>
      <c r="O1201" s="17"/>
    </row>
    <row r="1202" spans="1:15" x14ac:dyDescent="0.3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8"/>
      <c r="L1202" s="16"/>
      <c r="M1202" s="16"/>
      <c r="N1202" s="19" t="str">
        <f>IF(A1202="","",IF(K1202="",IFERROR(INDEX(Products!$S$3:$S$302,MATCH(A1202,Products!$A$3:$A$302,0)),"Product not found"),K1202-IF(L1202="Percentage",ROUND(K1202*N(M1202)/100,2),IF(L1202="Fixed amount",N(M1202),0))))</f>
        <v/>
      </c>
      <c r="O1202" s="17"/>
    </row>
    <row r="1203" spans="1:15" x14ac:dyDescent="0.3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8"/>
      <c r="L1203" s="16"/>
      <c r="M1203" s="16"/>
      <c r="N1203" s="19" t="str">
        <f>IF(A1203="","",IF(K1203="",IFERROR(INDEX(Products!$S$3:$S$302,MATCH(A1203,Products!$A$3:$A$302,0)),"Product not found"),K1203-IF(L1203="Percentage",ROUND(K1203*N(M1203)/100,2),IF(L1203="Fixed amount",N(M1203),0))))</f>
        <v/>
      </c>
      <c r="O1203" s="17"/>
    </row>
    <row r="1204" spans="1:15" x14ac:dyDescent="0.3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8"/>
      <c r="L1204" s="16"/>
      <c r="M1204" s="16"/>
      <c r="N1204" s="19" t="str">
        <f>IF(A1204="","",IF(K1204="",IFERROR(INDEX(Products!$S$3:$S$302,MATCH(A1204,Products!$A$3:$A$302,0)),"Product not found"),K1204-IF(L1204="Percentage",ROUND(K1204*N(M1204)/100,2),IF(L1204="Fixed amount",N(M1204),0))))</f>
        <v/>
      </c>
      <c r="O1204" s="17"/>
    </row>
    <row r="1205" spans="1:15" x14ac:dyDescent="0.3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8"/>
      <c r="L1205" s="16"/>
      <c r="M1205" s="16"/>
      <c r="N1205" s="19" t="str">
        <f>IF(A1205="","",IF(K1205="",IFERROR(INDEX(Products!$S$3:$S$302,MATCH(A1205,Products!$A$3:$A$302,0)),"Product not found"),K1205-IF(L1205="Percentage",ROUND(K1205*N(M1205)/100,2),IF(L1205="Fixed amount",N(M1205),0))))</f>
        <v/>
      </c>
      <c r="O1205" s="17"/>
    </row>
    <row r="1206" spans="1:15" x14ac:dyDescent="0.3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8"/>
      <c r="L1206" s="16"/>
      <c r="M1206" s="16"/>
      <c r="N1206" s="19" t="str">
        <f>IF(A1206="","",IF(K1206="",IFERROR(INDEX(Products!$S$3:$S$302,MATCH(A1206,Products!$A$3:$A$302,0)),"Product not found"),K1206-IF(L1206="Percentage",ROUND(K1206*N(M1206)/100,2),IF(L1206="Fixed amount",N(M1206),0))))</f>
        <v/>
      </c>
      <c r="O1206" s="17"/>
    </row>
    <row r="1207" spans="1:15" x14ac:dyDescent="0.3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8"/>
      <c r="L1207" s="16"/>
      <c r="M1207" s="16"/>
      <c r="N1207" s="19" t="str">
        <f>IF(A1207="","",IF(K1207="",IFERROR(INDEX(Products!$S$3:$S$302,MATCH(A1207,Products!$A$3:$A$302,0)),"Product not found"),K1207-IF(L1207="Percentage",ROUND(K1207*N(M1207)/100,2),IF(L1207="Fixed amount",N(M1207),0))))</f>
        <v/>
      </c>
      <c r="O1207" s="17"/>
    </row>
    <row r="1208" spans="1:15" x14ac:dyDescent="0.3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8"/>
      <c r="L1208" s="16"/>
      <c r="M1208" s="16"/>
      <c r="N1208" s="19" t="str">
        <f>IF(A1208="","",IF(K1208="",IFERROR(INDEX(Products!$S$3:$S$302,MATCH(A1208,Products!$A$3:$A$302,0)),"Product not found"),K1208-IF(L1208="Percentage",ROUND(K1208*N(M1208)/100,2),IF(L1208="Fixed amount",N(M1208),0))))</f>
        <v/>
      </c>
      <c r="O1208" s="17"/>
    </row>
    <row r="1209" spans="1:15" x14ac:dyDescent="0.3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8"/>
      <c r="L1209" s="16"/>
      <c r="M1209" s="16"/>
      <c r="N1209" s="19" t="str">
        <f>IF(A1209="","",IF(K1209="",IFERROR(INDEX(Products!$S$3:$S$302,MATCH(A1209,Products!$A$3:$A$302,0)),"Product not found"),K1209-IF(L1209="Percentage",ROUND(K1209*N(M1209)/100,2),IF(L1209="Fixed amount",N(M1209),0))))</f>
        <v/>
      </c>
      <c r="O1209" s="17"/>
    </row>
    <row r="1210" spans="1:15" x14ac:dyDescent="0.3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8"/>
      <c r="L1210" s="16"/>
      <c r="M1210" s="16"/>
      <c r="N1210" s="19" t="str">
        <f>IF(A1210="","",IF(K1210="",IFERROR(INDEX(Products!$S$3:$S$302,MATCH(A1210,Products!$A$3:$A$302,0)),"Product not found"),K1210-IF(L1210="Percentage",ROUND(K1210*N(M1210)/100,2),IF(L1210="Fixed amount",N(M1210),0))))</f>
        <v/>
      </c>
      <c r="O1210" s="17"/>
    </row>
    <row r="1211" spans="1:15" x14ac:dyDescent="0.3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8"/>
      <c r="L1211" s="16"/>
      <c r="M1211" s="16"/>
      <c r="N1211" s="19" t="str">
        <f>IF(A1211="","",IF(K1211="",IFERROR(INDEX(Products!$S$3:$S$302,MATCH(A1211,Products!$A$3:$A$302,0)),"Product not found"),K1211-IF(L1211="Percentage",ROUND(K1211*N(M1211)/100,2),IF(L1211="Fixed amount",N(M1211),0))))</f>
        <v/>
      </c>
      <c r="O1211" s="17"/>
    </row>
    <row r="1212" spans="1:15" x14ac:dyDescent="0.3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8"/>
      <c r="L1212" s="16"/>
      <c r="M1212" s="16"/>
      <c r="N1212" s="19" t="str">
        <f>IF(A1212="","",IF(K1212="",IFERROR(INDEX(Products!$S$3:$S$302,MATCH(A1212,Products!$A$3:$A$302,0)),"Product not found"),K1212-IF(L1212="Percentage",ROUND(K1212*N(M1212)/100,2),IF(L1212="Fixed amount",N(M1212),0))))</f>
        <v/>
      </c>
      <c r="O1212" s="17"/>
    </row>
    <row r="1213" spans="1:15" x14ac:dyDescent="0.3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8"/>
      <c r="L1213" s="16"/>
      <c r="M1213" s="16"/>
      <c r="N1213" s="19" t="str">
        <f>IF(A1213="","",IF(K1213="",IFERROR(INDEX(Products!$S$3:$S$302,MATCH(A1213,Products!$A$3:$A$302,0)),"Product not found"),K1213-IF(L1213="Percentage",ROUND(K1213*N(M1213)/100,2),IF(L1213="Fixed amount",N(M1213),0))))</f>
        <v/>
      </c>
      <c r="O1213" s="17"/>
    </row>
    <row r="1214" spans="1:15" x14ac:dyDescent="0.3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8"/>
      <c r="L1214" s="16"/>
      <c r="M1214" s="16"/>
      <c r="N1214" s="19" t="str">
        <f>IF(A1214="","",IF(K1214="",IFERROR(INDEX(Products!$S$3:$S$302,MATCH(A1214,Products!$A$3:$A$302,0)),"Product not found"),K1214-IF(L1214="Percentage",ROUND(K1214*N(M1214)/100,2),IF(L1214="Fixed amount",N(M1214),0))))</f>
        <v/>
      </c>
      <c r="O1214" s="17"/>
    </row>
    <row r="1215" spans="1:15" x14ac:dyDescent="0.3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8"/>
      <c r="L1215" s="16"/>
      <c r="M1215" s="16"/>
      <c r="N1215" s="19" t="str">
        <f>IF(A1215="","",IF(K1215="",IFERROR(INDEX(Products!$S$3:$S$302,MATCH(A1215,Products!$A$3:$A$302,0)),"Product not found"),K1215-IF(L1215="Percentage",ROUND(K1215*N(M1215)/100,2),IF(L1215="Fixed amount",N(M1215),0))))</f>
        <v/>
      </c>
      <c r="O1215" s="17"/>
    </row>
    <row r="1216" spans="1:15" x14ac:dyDescent="0.3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8"/>
      <c r="L1216" s="16"/>
      <c r="M1216" s="16"/>
      <c r="N1216" s="19" t="str">
        <f>IF(A1216="","",IF(K1216="",IFERROR(INDEX(Products!$S$3:$S$302,MATCH(A1216,Products!$A$3:$A$302,0)),"Product not found"),K1216-IF(L1216="Percentage",ROUND(K1216*N(M1216)/100,2),IF(L1216="Fixed amount",N(M1216),0))))</f>
        <v/>
      </c>
      <c r="O1216" s="17"/>
    </row>
    <row r="1217" spans="1:15" x14ac:dyDescent="0.3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8"/>
      <c r="L1217" s="16"/>
      <c r="M1217" s="16"/>
      <c r="N1217" s="19" t="str">
        <f>IF(A1217="","",IF(K1217="",IFERROR(INDEX(Products!$S$3:$S$302,MATCH(A1217,Products!$A$3:$A$302,0)),"Product not found"),K1217-IF(L1217="Percentage",ROUND(K1217*N(M1217)/100,2),IF(L1217="Fixed amount",N(M1217),0))))</f>
        <v/>
      </c>
      <c r="O1217" s="17"/>
    </row>
    <row r="1218" spans="1:15" x14ac:dyDescent="0.3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8"/>
      <c r="L1218" s="16"/>
      <c r="M1218" s="16"/>
      <c r="N1218" s="19" t="str">
        <f>IF(A1218="","",IF(K1218="",IFERROR(INDEX(Products!$S$3:$S$302,MATCH(A1218,Products!$A$3:$A$302,0)),"Product not found"),K1218-IF(L1218="Percentage",ROUND(K1218*N(M1218)/100,2),IF(L1218="Fixed amount",N(M1218),0))))</f>
        <v/>
      </c>
      <c r="O1218" s="17"/>
    </row>
    <row r="1219" spans="1:15" x14ac:dyDescent="0.3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8"/>
      <c r="L1219" s="16"/>
      <c r="M1219" s="16"/>
      <c r="N1219" s="19" t="str">
        <f>IF(A1219="","",IF(K1219="",IFERROR(INDEX(Products!$S$3:$S$302,MATCH(A1219,Products!$A$3:$A$302,0)),"Product not found"),K1219-IF(L1219="Percentage",ROUND(K1219*N(M1219)/100,2),IF(L1219="Fixed amount",N(M1219),0))))</f>
        <v/>
      </c>
      <c r="O1219" s="17"/>
    </row>
    <row r="1220" spans="1:15" x14ac:dyDescent="0.3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8"/>
      <c r="L1220" s="16"/>
      <c r="M1220" s="16"/>
      <c r="N1220" s="19" t="str">
        <f>IF(A1220="","",IF(K1220="",IFERROR(INDEX(Products!$S$3:$S$302,MATCH(A1220,Products!$A$3:$A$302,0)),"Product not found"),K1220-IF(L1220="Percentage",ROUND(K1220*N(M1220)/100,2),IF(L1220="Fixed amount",N(M1220),0))))</f>
        <v/>
      </c>
      <c r="O1220" s="17"/>
    </row>
    <row r="1221" spans="1:15" x14ac:dyDescent="0.3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8"/>
      <c r="L1221" s="16"/>
      <c r="M1221" s="16"/>
      <c r="N1221" s="19" t="str">
        <f>IF(A1221="","",IF(K1221="",IFERROR(INDEX(Products!$S$3:$S$302,MATCH(A1221,Products!$A$3:$A$302,0)),"Product not found"),K1221-IF(L1221="Percentage",ROUND(K1221*N(M1221)/100,2),IF(L1221="Fixed amount",N(M1221),0))))</f>
        <v/>
      </c>
      <c r="O1221" s="17"/>
    </row>
    <row r="1222" spans="1:15" x14ac:dyDescent="0.3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8"/>
      <c r="L1222" s="16"/>
      <c r="M1222" s="16"/>
      <c r="N1222" s="19" t="str">
        <f>IF(A1222="","",IF(K1222="",IFERROR(INDEX(Products!$S$3:$S$302,MATCH(A1222,Products!$A$3:$A$302,0)),"Product not found"),K1222-IF(L1222="Percentage",ROUND(K1222*N(M1222)/100,2),IF(L1222="Fixed amount",N(M1222),0))))</f>
        <v/>
      </c>
      <c r="O1222" s="17"/>
    </row>
    <row r="1223" spans="1:15" x14ac:dyDescent="0.3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8"/>
      <c r="L1223" s="16"/>
      <c r="M1223" s="16"/>
      <c r="N1223" s="19" t="str">
        <f>IF(A1223="","",IF(K1223="",IFERROR(INDEX(Products!$S$3:$S$302,MATCH(A1223,Products!$A$3:$A$302,0)),"Product not found"),K1223-IF(L1223="Percentage",ROUND(K1223*N(M1223)/100,2),IF(L1223="Fixed amount",N(M1223),0))))</f>
        <v/>
      </c>
      <c r="O1223" s="17"/>
    </row>
    <row r="1224" spans="1:15" x14ac:dyDescent="0.3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8"/>
      <c r="L1224" s="16"/>
      <c r="M1224" s="16"/>
      <c r="N1224" s="19" t="str">
        <f>IF(A1224="","",IF(K1224="",IFERROR(INDEX(Products!$S$3:$S$302,MATCH(A1224,Products!$A$3:$A$302,0)),"Product not found"),K1224-IF(L1224="Percentage",ROUND(K1224*N(M1224)/100,2),IF(L1224="Fixed amount",N(M1224),0))))</f>
        <v/>
      </c>
      <c r="O1224" s="17"/>
    </row>
    <row r="1225" spans="1:15" x14ac:dyDescent="0.3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8"/>
      <c r="L1225" s="16"/>
      <c r="M1225" s="16"/>
      <c r="N1225" s="19" t="str">
        <f>IF(A1225="","",IF(K1225="",IFERROR(INDEX(Products!$S$3:$S$302,MATCH(A1225,Products!$A$3:$A$302,0)),"Product not found"),K1225-IF(L1225="Percentage",ROUND(K1225*N(M1225)/100,2),IF(L1225="Fixed amount",N(M1225),0))))</f>
        <v/>
      </c>
      <c r="O1225" s="17"/>
    </row>
    <row r="1226" spans="1:15" x14ac:dyDescent="0.3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8"/>
      <c r="L1226" s="16"/>
      <c r="M1226" s="16"/>
      <c r="N1226" s="19" t="str">
        <f>IF(A1226="","",IF(K1226="",IFERROR(INDEX(Products!$S$3:$S$302,MATCH(A1226,Products!$A$3:$A$302,0)),"Product not found"),K1226-IF(L1226="Percentage",ROUND(K1226*N(M1226)/100,2),IF(L1226="Fixed amount",N(M1226),0))))</f>
        <v/>
      </c>
      <c r="O1226" s="17"/>
    </row>
    <row r="1227" spans="1:15" x14ac:dyDescent="0.3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8"/>
      <c r="L1227" s="16"/>
      <c r="M1227" s="16"/>
      <c r="N1227" s="19" t="str">
        <f>IF(A1227="","",IF(K1227="",IFERROR(INDEX(Products!$S$3:$S$302,MATCH(A1227,Products!$A$3:$A$302,0)),"Product not found"),K1227-IF(L1227="Percentage",ROUND(K1227*N(M1227)/100,2),IF(L1227="Fixed amount",N(M1227),0))))</f>
        <v/>
      </c>
      <c r="O1227" s="17"/>
    </row>
    <row r="1228" spans="1:15" x14ac:dyDescent="0.3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8"/>
      <c r="L1228" s="16"/>
      <c r="M1228" s="16"/>
      <c r="N1228" s="19" t="str">
        <f>IF(A1228="","",IF(K1228="",IFERROR(INDEX(Products!$S$3:$S$302,MATCH(A1228,Products!$A$3:$A$302,0)),"Product not found"),K1228-IF(L1228="Percentage",ROUND(K1228*N(M1228)/100,2),IF(L1228="Fixed amount",N(M1228),0))))</f>
        <v/>
      </c>
      <c r="O1228" s="17"/>
    </row>
    <row r="1229" spans="1:15" x14ac:dyDescent="0.3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8"/>
      <c r="L1229" s="16"/>
      <c r="M1229" s="16"/>
      <c r="N1229" s="19" t="str">
        <f>IF(A1229="","",IF(K1229="",IFERROR(INDEX(Products!$S$3:$S$302,MATCH(A1229,Products!$A$3:$A$302,0)),"Product not found"),K1229-IF(L1229="Percentage",ROUND(K1229*N(M1229)/100,2),IF(L1229="Fixed amount",N(M1229),0))))</f>
        <v/>
      </c>
      <c r="O1229" s="17"/>
    </row>
    <row r="1230" spans="1:15" x14ac:dyDescent="0.3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8"/>
      <c r="L1230" s="16"/>
      <c r="M1230" s="16"/>
      <c r="N1230" s="19" t="str">
        <f>IF(A1230="","",IF(K1230="",IFERROR(INDEX(Products!$S$3:$S$302,MATCH(A1230,Products!$A$3:$A$302,0)),"Product not found"),K1230-IF(L1230="Percentage",ROUND(K1230*N(M1230)/100,2),IF(L1230="Fixed amount",N(M1230),0))))</f>
        <v/>
      </c>
      <c r="O1230" s="17"/>
    </row>
    <row r="1231" spans="1:15" x14ac:dyDescent="0.3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8"/>
      <c r="L1231" s="16"/>
      <c r="M1231" s="16"/>
      <c r="N1231" s="19" t="str">
        <f>IF(A1231="","",IF(K1231="",IFERROR(INDEX(Products!$S$3:$S$302,MATCH(A1231,Products!$A$3:$A$302,0)),"Product not found"),K1231-IF(L1231="Percentage",ROUND(K1231*N(M1231)/100,2),IF(L1231="Fixed amount",N(M1231),0))))</f>
        <v/>
      </c>
      <c r="O1231" s="17"/>
    </row>
    <row r="1232" spans="1:15" x14ac:dyDescent="0.3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8"/>
      <c r="L1232" s="16"/>
      <c r="M1232" s="16"/>
      <c r="N1232" s="19" t="str">
        <f>IF(A1232="","",IF(K1232="",IFERROR(INDEX(Products!$S$3:$S$302,MATCH(A1232,Products!$A$3:$A$302,0)),"Product not found"),K1232-IF(L1232="Percentage",ROUND(K1232*N(M1232)/100,2),IF(L1232="Fixed amount",N(M1232),0))))</f>
        <v/>
      </c>
      <c r="O1232" s="17"/>
    </row>
    <row r="1233" spans="1:15" x14ac:dyDescent="0.3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8"/>
      <c r="L1233" s="16"/>
      <c r="M1233" s="16"/>
      <c r="N1233" s="19" t="str">
        <f>IF(A1233="","",IF(K1233="",IFERROR(INDEX(Products!$S$3:$S$302,MATCH(A1233,Products!$A$3:$A$302,0)),"Product not found"),K1233-IF(L1233="Percentage",ROUND(K1233*N(M1233)/100,2),IF(L1233="Fixed amount",N(M1233),0))))</f>
        <v/>
      </c>
      <c r="O1233" s="17"/>
    </row>
    <row r="1234" spans="1:15" x14ac:dyDescent="0.3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8"/>
      <c r="L1234" s="16"/>
      <c r="M1234" s="16"/>
      <c r="N1234" s="19" t="str">
        <f>IF(A1234="","",IF(K1234="",IFERROR(INDEX(Products!$S$3:$S$302,MATCH(A1234,Products!$A$3:$A$302,0)),"Product not found"),K1234-IF(L1234="Percentage",ROUND(K1234*N(M1234)/100,2),IF(L1234="Fixed amount",N(M1234),0))))</f>
        <v/>
      </c>
      <c r="O1234" s="17"/>
    </row>
    <row r="1235" spans="1:15" x14ac:dyDescent="0.3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8"/>
      <c r="L1235" s="16"/>
      <c r="M1235" s="16"/>
      <c r="N1235" s="19" t="str">
        <f>IF(A1235="","",IF(K1235="",IFERROR(INDEX(Products!$S$3:$S$302,MATCH(A1235,Products!$A$3:$A$302,0)),"Product not found"),K1235-IF(L1235="Percentage",ROUND(K1235*N(M1235)/100,2),IF(L1235="Fixed amount",N(M1235),0))))</f>
        <v/>
      </c>
      <c r="O1235" s="17"/>
    </row>
    <row r="1236" spans="1:15" x14ac:dyDescent="0.3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8"/>
      <c r="L1236" s="16"/>
      <c r="M1236" s="16"/>
      <c r="N1236" s="19" t="str">
        <f>IF(A1236="","",IF(K1236="",IFERROR(INDEX(Products!$S$3:$S$302,MATCH(A1236,Products!$A$3:$A$302,0)),"Product not found"),K1236-IF(L1236="Percentage",ROUND(K1236*N(M1236)/100,2),IF(L1236="Fixed amount",N(M1236),0))))</f>
        <v/>
      </c>
      <c r="O1236" s="17"/>
    </row>
    <row r="1237" spans="1:15" x14ac:dyDescent="0.3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8"/>
      <c r="L1237" s="16"/>
      <c r="M1237" s="16"/>
      <c r="N1237" s="19" t="str">
        <f>IF(A1237="","",IF(K1237="",IFERROR(INDEX(Products!$S$3:$S$302,MATCH(A1237,Products!$A$3:$A$302,0)),"Product not found"),K1237-IF(L1237="Percentage",ROUND(K1237*N(M1237)/100,2),IF(L1237="Fixed amount",N(M1237),0))))</f>
        <v/>
      </c>
      <c r="O1237" s="17"/>
    </row>
    <row r="1238" spans="1:15" x14ac:dyDescent="0.3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8"/>
      <c r="L1238" s="16"/>
      <c r="M1238" s="16"/>
      <c r="N1238" s="19" t="str">
        <f>IF(A1238="","",IF(K1238="",IFERROR(INDEX(Products!$S$3:$S$302,MATCH(A1238,Products!$A$3:$A$302,0)),"Product not found"),K1238-IF(L1238="Percentage",ROUND(K1238*N(M1238)/100,2),IF(L1238="Fixed amount",N(M1238),0))))</f>
        <v/>
      </c>
      <c r="O1238" s="17"/>
    </row>
    <row r="1239" spans="1:15" x14ac:dyDescent="0.3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8"/>
      <c r="L1239" s="16"/>
      <c r="M1239" s="16"/>
      <c r="N1239" s="19" t="str">
        <f>IF(A1239="","",IF(K1239="",IFERROR(INDEX(Products!$S$3:$S$302,MATCH(A1239,Products!$A$3:$A$302,0)),"Product not found"),K1239-IF(L1239="Percentage",ROUND(K1239*N(M1239)/100,2),IF(L1239="Fixed amount",N(M1239),0))))</f>
        <v/>
      </c>
      <c r="O1239" s="17"/>
    </row>
    <row r="1240" spans="1:15" x14ac:dyDescent="0.3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8"/>
      <c r="L1240" s="16"/>
      <c r="M1240" s="16"/>
      <c r="N1240" s="19" t="str">
        <f>IF(A1240="","",IF(K1240="",IFERROR(INDEX(Products!$S$3:$S$302,MATCH(A1240,Products!$A$3:$A$302,0)),"Product not found"),K1240-IF(L1240="Percentage",ROUND(K1240*N(M1240)/100,2),IF(L1240="Fixed amount",N(M1240),0))))</f>
        <v/>
      </c>
      <c r="O1240" s="17"/>
    </row>
    <row r="1241" spans="1:15" x14ac:dyDescent="0.3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8"/>
      <c r="L1241" s="16"/>
      <c r="M1241" s="16"/>
      <c r="N1241" s="19" t="str">
        <f>IF(A1241="","",IF(K1241="",IFERROR(INDEX(Products!$S$3:$S$302,MATCH(A1241,Products!$A$3:$A$302,0)),"Product not found"),K1241-IF(L1241="Percentage",ROUND(K1241*N(M1241)/100,2),IF(L1241="Fixed amount",N(M1241),0))))</f>
        <v/>
      </c>
      <c r="O1241" s="17"/>
    </row>
    <row r="1242" spans="1:15" x14ac:dyDescent="0.3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8"/>
      <c r="L1242" s="16"/>
      <c r="M1242" s="16"/>
      <c r="N1242" s="19" t="str">
        <f>IF(A1242="","",IF(K1242="",IFERROR(INDEX(Products!$S$3:$S$302,MATCH(A1242,Products!$A$3:$A$302,0)),"Product not found"),K1242-IF(L1242="Percentage",ROUND(K1242*N(M1242)/100,2),IF(L1242="Fixed amount",N(M1242),0))))</f>
        <v/>
      </c>
      <c r="O1242" s="17"/>
    </row>
    <row r="1243" spans="1:15" x14ac:dyDescent="0.3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8"/>
      <c r="L1243" s="16"/>
      <c r="M1243" s="16"/>
      <c r="N1243" s="19" t="str">
        <f>IF(A1243="","",IF(K1243="",IFERROR(INDEX(Products!$S$3:$S$302,MATCH(A1243,Products!$A$3:$A$302,0)),"Product not found"),K1243-IF(L1243="Percentage",ROUND(K1243*N(M1243)/100,2),IF(L1243="Fixed amount",N(M1243),0))))</f>
        <v/>
      </c>
      <c r="O1243" s="17"/>
    </row>
    <row r="1244" spans="1:15" x14ac:dyDescent="0.3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8"/>
      <c r="L1244" s="16"/>
      <c r="M1244" s="16"/>
      <c r="N1244" s="19" t="str">
        <f>IF(A1244="","",IF(K1244="",IFERROR(INDEX(Products!$S$3:$S$302,MATCH(A1244,Products!$A$3:$A$302,0)),"Product not found"),K1244-IF(L1244="Percentage",ROUND(K1244*N(M1244)/100,2),IF(L1244="Fixed amount",N(M1244),0))))</f>
        <v/>
      </c>
      <c r="O1244" s="17"/>
    </row>
    <row r="1245" spans="1:15" x14ac:dyDescent="0.3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8"/>
      <c r="L1245" s="16"/>
      <c r="M1245" s="16"/>
      <c r="N1245" s="19" t="str">
        <f>IF(A1245="","",IF(K1245="",IFERROR(INDEX(Products!$S$3:$S$302,MATCH(A1245,Products!$A$3:$A$302,0)),"Product not found"),K1245-IF(L1245="Percentage",ROUND(K1245*N(M1245)/100,2),IF(L1245="Fixed amount",N(M1245),0))))</f>
        <v/>
      </c>
      <c r="O1245" s="17"/>
    </row>
    <row r="1246" spans="1:15" x14ac:dyDescent="0.3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8"/>
      <c r="L1246" s="16"/>
      <c r="M1246" s="16"/>
      <c r="N1246" s="19" t="str">
        <f>IF(A1246="","",IF(K1246="",IFERROR(INDEX(Products!$S$3:$S$302,MATCH(A1246,Products!$A$3:$A$302,0)),"Product not found"),K1246-IF(L1246="Percentage",ROUND(K1246*N(M1246)/100,2),IF(L1246="Fixed amount",N(M1246),0))))</f>
        <v/>
      </c>
      <c r="O1246" s="17"/>
    </row>
    <row r="1247" spans="1:15" x14ac:dyDescent="0.3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8"/>
      <c r="L1247" s="16"/>
      <c r="M1247" s="16"/>
      <c r="N1247" s="19" t="str">
        <f>IF(A1247="","",IF(K1247="",IFERROR(INDEX(Products!$S$3:$S$302,MATCH(A1247,Products!$A$3:$A$302,0)),"Product not found"),K1247-IF(L1247="Percentage",ROUND(K1247*N(M1247)/100,2),IF(L1247="Fixed amount",N(M1247),0))))</f>
        <v/>
      </c>
      <c r="O1247" s="17"/>
    </row>
    <row r="1248" spans="1:15" x14ac:dyDescent="0.3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8"/>
      <c r="L1248" s="16"/>
      <c r="M1248" s="16"/>
      <c r="N1248" s="19" t="str">
        <f>IF(A1248="","",IF(K1248="",IFERROR(INDEX(Products!$S$3:$S$302,MATCH(A1248,Products!$A$3:$A$302,0)),"Product not found"),K1248-IF(L1248="Percentage",ROUND(K1248*N(M1248)/100,2),IF(L1248="Fixed amount",N(M1248),0))))</f>
        <v/>
      </c>
      <c r="O1248" s="17"/>
    </row>
    <row r="1249" spans="1:15" x14ac:dyDescent="0.3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8"/>
      <c r="L1249" s="16"/>
      <c r="M1249" s="16"/>
      <c r="N1249" s="19" t="str">
        <f>IF(A1249="","",IF(K1249="",IFERROR(INDEX(Products!$S$3:$S$302,MATCH(A1249,Products!$A$3:$A$302,0)),"Product not found"),K1249-IF(L1249="Percentage",ROUND(K1249*N(M1249)/100,2),IF(L1249="Fixed amount",N(M1249),0))))</f>
        <v/>
      </c>
      <c r="O1249" s="17"/>
    </row>
    <row r="1250" spans="1:15" x14ac:dyDescent="0.3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8"/>
      <c r="L1250" s="16"/>
      <c r="M1250" s="16"/>
      <c r="N1250" s="19" t="str">
        <f>IF(A1250="","",IF(K1250="",IFERROR(INDEX(Products!$S$3:$S$302,MATCH(A1250,Products!$A$3:$A$302,0)),"Product not found"),K1250-IF(L1250="Percentage",ROUND(K1250*N(M1250)/100,2),IF(L1250="Fixed amount",N(M1250),0))))</f>
        <v/>
      </c>
      <c r="O1250" s="17"/>
    </row>
    <row r="1251" spans="1:15" x14ac:dyDescent="0.3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8"/>
      <c r="L1251" s="16"/>
      <c r="M1251" s="16"/>
      <c r="N1251" s="19" t="str">
        <f>IF(A1251="","",IF(K1251="",IFERROR(INDEX(Products!$S$3:$S$302,MATCH(A1251,Products!$A$3:$A$302,0)),"Product not found"),K1251-IF(L1251="Percentage",ROUND(K1251*N(M1251)/100,2),IF(L1251="Fixed amount",N(M1251),0))))</f>
        <v/>
      </c>
      <c r="O1251" s="17"/>
    </row>
    <row r="1252" spans="1:15" x14ac:dyDescent="0.3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8"/>
      <c r="L1252" s="16"/>
      <c r="M1252" s="16"/>
      <c r="N1252" s="19" t="str">
        <f>IF(A1252="","",IF(K1252="",IFERROR(INDEX(Products!$S$3:$S$302,MATCH(A1252,Products!$A$3:$A$302,0)),"Product not found"),K1252-IF(L1252="Percentage",ROUND(K1252*N(M1252)/100,2),IF(L1252="Fixed amount",N(M1252),0))))</f>
        <v/>
      </c>
      <c r="O1252" s="17"/>
    </row>
    <row r="1253" spans="1:15" x14ac:dyDescent="0.3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8"/>
      <c r="L1253" s="16"/>
      <c r="M1253" s="16"/>
      <c r="N1253" s="19" t="str">
        <f>IF(A1253="","",IF(K1253="",IFERROR(INDEX(Products!$S$3:$S$302,MATCH(A1253,Products!$A$3:$A$302,0)),"Product not found"),K1253-IF(L1253="Percentage",ROUND(K1253*N(M1253)/100,2),IF(L1253="Fixed amount",N(M1253),0))))</f>
        <v/>
      </c>
      <c r="O1253" s="17"/>
    </row>
    <row r="1254" spans="1:15" x14ac:dyDescent="0.3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8"/>
      <c r="L1254" s="16"/>
      <c r="M1254" s="16"/>
      <c r="N1254" s="19" t="str">
        <f>IF(A1254="","",IF(K1254="",IFERROR(INDEX(Products!$S$3:$S$302,MATCH(A1254,Products!$A$3:$A$302,0)),"Product not found"),K1254-IF(L1254="Percentage",ROUND(K1254*N(M1254)/100,2),IF(L1254="Fixed amount",N(M1254),0))))</f>
        <v/>
      </c>
      <c r="O1254" s="17"/>
    </row>
    <row r="1255" spans="1:15" x14ac:dyDescent="0.3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8"/>
      <c r="L1255" s="16"/>
      <c r="M1255" s="16"/>
      <c r="N1255" s="19" t="str">
        <f>IF(A1255="","",IF(K1255="",IFERROR(INDEX(Products!$S$3:$S$302,MATCH(A1255,Products!$A$3:$A$302,0)),"Product not found"),K1255-IF(L1255="Percentage",ROUND(K1255*N(M1255)/100,2),IF(L1255="Fixed amount",N(M1255),0))))</f>
        <v/>
      </c>
      <c r="O1255" s="17"/>
    </row>
    <row r="1256" spans="1:15" x14ac:dyDescent="0.3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8"/>
      <c r="L1256" s="16"/>
      <c r="M1256" s="16"/>
      <c r="N1256" s="19" t="str">
        <f>IF(A1256="","",IF(K1256="",IFERROR(INDEX(Products!$S$3:$S$302,MATCH(A1256,Products!$A$3:$A$302,0)),"Product not found"),K1256-IF(L1256="Percentage",ROUND(K1256*N(M1256)/100,2),IF(L1256="Fixed amount",N(M1256),0))))</f>
        <v/>
      </c>
      <c r="O1256" s="17"/>
    </row>
    <row r="1257" spans="1:15" x14ac:dyDescent="0.3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8"/>
      <c r="L1257" s="16"/>
      <c r="M1257" s="16"/>
      <c r="N1257" s="19" t="str">
        <f>IF(A1257="","",IF(K1257="",IFERROR(INDEX(Products!$S$3:$S$302,MATCH(A1257,Products!$A$3:$A$302,0)),"Product not found"),K1257-IF(L1257="Percentage",ROUND(K1257*N(M1257)/100,2),IF(L1257="Fixed amount",N(M1257),0))))</f>
        <v/>
      </c>
      <c r="O1257" s="17"/>
    </row>
    <row r="1258" spans="1:15" x14ac:dyDescent="0.3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8"/>
      <c r="L1258" s="16"/>
      <c r="M1258" s="16"/>
      <c r="N1258" s="19" t="str">
        <f>IF(A1258="","",IF(K1258="",IFERROR(INDEX(Products!$S$3:$S$302,MATCH(A1258,Products!$A$3:$A$302,0)),"Product not found"),K1258-IF(L1258="Percentage",ROUND(K1258*N(M1258)/100,2),IF(L1258="Fixed amount",N(M1258),0))))</f>
        <v/>
      </c>
      <c r="O1258" s="17"/>
    </row>
    <row r="1259" spans="1:15" x14ac:dyDescent="0.3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8"/>
      <c r="L1259" s="16"/>
      <c r="M1259" s="16"/>
      <c r="N1259" s="19" t="str">
        <f>IF(A1259="","",IF(K1259="",IFERROR(INDEX(Products!$S$3:$S$302,MATCH(A1259,Products!$A$3:$A$302,0)),"Product not found"),K1259-IF(L1259="Percentage",ROUND(K1259*N(M1259)/100,2),IF(L1259="Fixed amount",N(M1259),0))))</f>
        <v/>
      </c>
      <c r="O1259" s="17"/>
    </row>
    <row r="1260" spans="1:15" x14ac:dyDescent="0.3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8"/>
      <c r="L1260" s="16"/>
      <c r="M1260" s="16"/>
      <c r="N1260" s="19" t="str">
        <f>IF(A1260="","",IF(K1260="",IFERROR(INDEX(Products!$S$3:$S$302,MATCH(A1260,Products!$A$3:$A$302,0)),"Product not found"),K1260-IF(L1260="Percentage",ROUND(K1260*N(M1260)/100,2),IF(L1260="Fixed amount",N(M1260),0))))</f>
        <v/>
      </c>
      <c r="O1260" s="17"/>
    </row>
    <row r="1261" spans="1:15" x14ac:dyDescent="0.3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8"/>
      <c r="L1261" s="16"/>
      <c r="M1261" s="16"/>
      <c r="N1261" s="19" t="str">
        <f>IF(A1261="","",IF(K1261="",IFERROR(INDEX(Products!$S$3:$S$302,MATCH(A1261,Products!$A$3:$A$302,0)),"Product not found"),K1261-IF(L1261="Percentage",ROUND(K1261*N(M1261)/100,2),IF(L1261="Fixed amount",N(M1261),0))))</f>
        <v/>
      </c>
      <c r="O1261" s="17"/>
    </row>
    <row r="1262" spans="1:15" x14ac:dyDescent="0.3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8"/>
      <c r="L1262" s="16"/>
      <c r="M1262" s="16"/>
      <c r="N1262" s="19" t="str">
        <f>IF(A1262="","",IF(K1262="",IFERROR(INDEX(Products!$S$3:$S$302,MATCH(A1262,Products!$A$3:$A$302,0)),"Product not found"),K1262-IF(L1262="Percentage",ROUND(K1262*N(M1262)/100,2),IF(L1262="Fixed amount",N(M1262),0))))</f>
        <v/>
      </c>
      <c r="O1262" s="17"/>
    </row>
    <row r="1263" spans="1:15" x14ac:dyDescent="0.3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8"/>
      <c r="L1263" s="16"/>
      <c r="M1263" s="16"/>
      <c r="N1263" s="19" t="str">
        <f>IF(A1263="","",IF(K1263="",IFERROR(INDEX(Products!$S$3:$S$302,MATCH(A1263,Products!$A$3:$A$302,0)),"Product not found"),K1263-IF(L1263="Percentage",ROUND(K1263*N(M1263)/100,2),IF(L1263="Fixed amount",N(M1263),0))))</f>
        <v/>
      </c>
      <c r="O1263" s="17"/>
    </row>
    <row r="1264" spans="1:15" x14ac:dyDescent="0.3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8"/>
      <c r="L1264" s="16"/>
      <c r="M1264" s="16"/>
      <c r="N1264" s="19" t="str">
        <f>IF(A1264="","",IF(K1264="",IFERROR(INDEX(Products!$S$3:$S$302,MATCH(A1264,Products!$A$3:$A$302,0)),"Product not found"),K1264-IF(L1264="Percentage",ROUND(K1264*N(M1264)/100,2),IF(L1264="Fixed amount",N(M1264),0))))</f>
        <v/>
      </c>
      <c r="O1264" s="17"/>
    </row>
    <row r="1265" spans="1:15" x14ac:dyDescent="0.3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8"/>
      <c r="L1265" s="16"/>
      <c r="M1265" s="16"/>
      <c r="N1265" s="19" t="str">
        <f>IF(A1265="","",IF(K1265="",IFERROR(INDEX(Products!$S$3:$S$302,MATCH(A1265,Products!$A$3:$A$302,0)),"Product not found"),K1265-IF(L1265="Percentage",ROUND(K1265*N(M1265)/100,2),IF(L1265="Fixed amount",N(M1265),0))))</f>
        <v/>
      </c>
      <c r="O1265" s="17"/>
    </row>
    <row r="1266" spans="1:15" x14ac:dyDescent="0.3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8"/>
      <c r="L1266" s="16"/>
      <c r="M1266" s="16"/>
      <c r="N1266" s="19" t="str">
        <f>IF(A1266="","",IF(K1266="",IFERROR(INDEX(Products!$S$3:$S$302,MATCH(A1266,Products!$A$3:$A$302,0)),"Product not found"),K1266-IF(L1266="Percentage",ROUND(K1266*N(M1266)/100,2),IF(L1266="Fixed amount",N(M1266),0))))</f>
        <v/>
      </c>
      <c r="O1266" s="17"/>
    </row>
    <row r="1267" spans="1:15" x14ac:dyDescent="0.3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8"/>
      <c r="L1267" s="16"/>
      <c r="M1267" s="16"/>
      <c r="N1267" s="19" t="str">
        <f>IF(A1267="","",IF(K1267="",IFERROR(INDEX(Products!$S$3:$S$302,MATCH(A1267,Products!$A$3:$A$302,0)),"Product not found"),K1267-IF(L1267="Percentage",ROUND(K1267*N(M1267)/100,2),IF(L1267="Fixed amount",N(M1267),0))))</f>
        <v/>
      </c>
      <c r="O1267" s="17"/>
    </row>
    <row r="1268" spans="1:15" x14ac:dyDescent="0.3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8"/>
      <c r="L1268" s="16"/>
      <c r="M1268" s="16"/>
      <c r="N1268" s="19" t="str">
        <f>IF(A1268="","",IF(K1268="",IFERROR(INDEX(Products!$S$3:$S$302,MATCH(A1268,Products!$A$3:$A$302,0)),"Product not found"),K1268-IF(L1268="Percentage",ROUND(K1268*N(M1268)/100,2),IF(L1268="Fixed amount",N(M1268),0))))</f>
        <v/>
      </c>
      <c r="O1268" s="17"/>
    </row>
    <row r="1269" spans="1:15" x14ac:dyDescent="0.3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8"/>
      <c r="L1269" s="16"/>
      <c r="M1269" s="16"/>
      <c r="N1269" s="19" t="str">
        <f>IF(A1269="","",IF(K1269="",IFERROR(INDEX(Products!$S$3:$S$302,MATCH(A1269,Products!$A$3:$A$302,0)),"Product not found"),K1269-IF(L1269="Percentage",ROUND(K1269*N(M1269)/100,2),IF(L1269="Fixed amount",N(M1269),0))))</f>
        <v/>
      </c>
      <c r="O1269" s="17"/>
    </row>
    <row r="1270" spans="1:15" x14ac:dyDescent="0.3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8"/>
      <c r="L1270" s="16"/>
      <c r="M1270" s="16"/>
      <c r="N1270" s="19" t="str">
        <f>IF(A1270="","",IF(K1270="",IFERROR(INDEX(Products!$S$3:$S$302,MATCH(A1270,Products!$A$3:$A$302,0)),"Product not found"),K1270-IF(L1270="Percentage",ROUND(K1270*N(M1270)/100,2),IF(L1270="Fixed amount",N(M1270),0))))</f>
        <v/>
      </c>
      <c r="O1270" s="17"/>
    </row>
    <row r="1271" spans="1:15" x14ac:dyDescent="0.3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8"/>
      <c r="L1271" s="16"/>
      <c r="M1271" s="16"/>
      <c r="N1271" s="19" t="str">
        <f>IF(A1271="","",IF(K1271="",IFERROR(INDEX(Products!$S$3:$S$302,MATCH(A1271,Products!$A$3:$A$302,0)),"Product not found"),K1271-IF(L1271="Percentage",ROUND(K1271*N(M1271)/100,2),IF(L1271="Fixed amount",N(M1271),0))))</f>
        <v/>
      </c>
      <c r="O1271" s="17"/>
    </row>
    <row r="1272" spans="1:15" x14ac:dyDescent="0.3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8"/>
      <c r="L1272" s="16"/>
      <c r="M1272" s="16"/>
      <c r="N1272" s="19" t="str">
        <f>IF(A1272="","",IF(K1272="",IFERROR(INDEX(Products!$S$3:$S$302,MATCH(A1272,Products!$A$3:$A$302,0)),"Product not found"),K1272-IF(L1272="Percentage",ROUND(K1272*N(M1272)/100,2),IF(L1272="Fixed amount",N(M1272),0))))</f>
        <v/>
      </c>
      <c r="O1272" s="17"/>
    </row>
    <row r="1273" spans="1:15" x14ac:dyDescent="0.3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8"/>
      <c r="L1273" s="16"/>
      <c r="M1273" s="16"/>
      <c r="N1273" s="19" t="str">
        <f>IF(A1273="","",IF(K1273="",IFERROR(INDEX(Products!$S$3:$S$302,MATCH(A1273,Products!$A$3:$A$302,0)),"Product not found"),K1273-IF(L1273="Percentage",ROUND(K1273*N(M1273)/100,2),IF(L1273="Fixed amount",N(M1273),0))))</f>
        <v/>
      </c>
      <c r="O1273" s="17"/>
    </row>
    <row r="1274" spans="1:15" x14ac:dyDescent="0.3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8"/>
      <c r="L1274" s="16"/>
      <c r="M1274" s="16"/>
      <c r="N1274" s="19" t="str">
        <f>IF(A1274="","",IF(K1274="",IFERROR(INDEX(Products!$S$3:$S$302,MATCH(A1274,Products!$A$3:$A$302,0)),"Product not found"),K1274-IF(L1274="Percentage",ROUND(K1274*N(M1274)/100,2),IF(L1274="Fixed amount",N(M1274),0))))</f>
        <v/>
      </c>
      <c r="O1274" s="17"/>
    </row>
    <row r="1275" spans="1:15" x14ac:dyDescent="0.3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8"/>
      <c r="L1275" s="16"/>
      <c r="M1275" s="16"/>
      <c r="N1275" s="19" t="str">
        <f>IF(A1275="","",IF(K1275="",IFERROR(INDEX(Products!$S$3:$S$302,MATCH(A1275,Products!$A$3:$A$302,0)),"Product not found"),K1275-IF(L1275="Percentage",ROUND(K1275*N(M1275)/100,2),IF(L1275="Fixed amount",N(M1275),0))))</f>
        <v/>
      </c>
      <c r="O1275" s="17"/>
    </row>
    <row r="1276" spans="1:15" x14ac:dyDescent="0.3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8"/>
      <c r="L1276" s="16"/>
      <c r="M1276" s="16"/>
      <c r="N1276" s="19" t="str">
        <f>IF(A1276="","",IF(K1276="",IFERROR(INDEX(Products!$S$3:$S$302,MATCH(A1276,Products!$A$3:$A$302,0)),"Product not found"),K1276-IF(L1276="Percentage",ROUND(K1276*N(M1276)/100,2),IF(L1276="Fixed amount",N(M1276),0))))</f>
        <v/>
      </c>
      <c r="O1276" s="17"/>
    </row>
    <row r="1277" spans="1:15" x14ac:dyDescent="0.3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8"/>
      <c r="L1277" s="16"/>
      <c r="M1277" s="16"/>
      <c r="N1277" s="19" t="str">
        <f>IF(A1277="","",IF(K1277="",IFERROR(INDEX(Products!$S$3:$S$302,MATCH(A1277,Products!$A$3:$A$302,0)),"Product not found"),K1277-IF(L1277="Percentage",ROUND(K1277*N(M1277)/100,2),IF(L1277="Fixed amount",N(M1277),0))))</f>
        <v/>
      </c>
      <c r="O1277" s="17"/>
    </row>
    <row r="1278" spans="1:15" x14ac:dyDescent="0.3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8"/>
      <c r="L1278" s="16"/>
      <c r="M1278" s="16"/>
      <c r="N1278" s="19" t="str">
        <f>IF(A1278="","",IF(K1278="",IFERROR(INDEX(Products!$S$3:$S$302,MATCH(A1278,Products!$A$3:$A$302,0)),"Product not found"),K1278-IF(L1278="Percentage",ROUND(K1278*N(M1278)/100,2),IF(L1278="Fixed amount",N(M1278),0))))</f>
        <v/>
      </c>
      <c r="O1278" s="17"/>
    </row>
    <row r="1279" spans="1:15" x14ac:dyDescent="0.3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8"/>
      <c r="L1279" s="16"/>
      <c r="M1279" s="16"/>
      <c r="N1279" s="19" t="str">
        <f>IF(A1279="","",IF(K1279="",IFERROR(INDEX(Products!$S$3:$S$302,MATCH(A1279,Products!$A$3:$A$302,0)),"Product not found"),K1279-IF(L1279="Percentage",ROUND(K1279*N(M1279)/100,2),IF(L1279="Fixed amount",N(M1279),0))))</f>
        <v/>
      </c>
      <c r="O1279" s="17"/>
    </row>
    <row r="1280" spans="1:15" x14ac:dyDescent="0.3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8"/>
      <c r="L1280" s="16"/>
      <c r="M1280" s="16"/>
      <c r="N1280" s="19" t="str">
        <f>IF(A1280="","",IF(K1280="",IFERROR(INDEX(Products!$S$3:$S$302,MATCH(A1280,Products!$A$3:$A$302,0)),"Product not found"),K1280-IF(L1280="Percentage",ROUND(K1280*N(M1280)/100,2),IF(L1280="Fixed amount",N(M1280),0))))</f>
        <v/>
      </c>
      <c r="O1280" s="17"/>
    </row>
    <row r="1281" spans="1:15" x14ac:dyDescent="0.3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8"/>
      <c r="L1281" s="16"/>
      <c r="M1281" s="16"/>
      <c r="N1281" s="19" t="str">
        <f>IF(A1281="","",IF(K1281="",IFERROR(INDEX(Products!$S$3:$S$302,MATCH(A1281,Products!$A$3:$A$302,0)),"Product not found"),K1281-IF(L1281="Percentage",ROUND(K1281*N(M1281)/100,2),IF(L1281="Fixed amount",N(M1281),0))))</f>
        <v/>
      </c>
      <c r="O1281" s="17"/>
    </row>
    <row r="1282" spans="1:15" x14ac:dyDescent="0.3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8"/>
      <c r="L1282" s="16"/>
      <c r="M1282" s="16"/>
      <c r="N1282" s="19" t="str">
        <f>IF(A1282="","",IF(K1282="",IFERROR(INDEX(Products!$S$3:$S$302,MATCH(A1282,Products!$A$3:$A$302,0)),"Product not found"),K1282-IF(L1282="Percentage",ROUND(K1282*N(M1282)/100,2),IF(L1282="Fixed amount",N(M1282),0))))</f>
        <v/>
      </c>
      <c r="O1282" s="17"/>
    </row>
    <row r="1283" spans="1:15" x14ac:dyDescent="0.3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8"/>
      <c r="L1283" s="16"/>
      <c r="M1283" s="16"/>
      <c r="N1283" s="19" t="str">
        <f>IF(A1283="","",IF(K1283="",IFERROR(INDEX(Products!$S$3:$S$302,MATCH(A1283,Products!$A$3:$A$302,0)),"Product not found"),K1283-IF(L1283="Percentage",ROUND(K1283*N(M1283)/100,2),IF(L1283="Fixed amount",N(M1283),0))))</f>
        <v/>
      </c>
      <c r="O1283" s="17"/>
    </row>
    <row r="1284" spans="1:15" x14ac:dyDescent="0.3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8"/>
      <c r="L1284" s="16"/>
      <c r="M1284" s="16"/>
      <c r="N1284" s="19" t="str">
        <f>IF(A1284="","",IF(K1284="",IFERROR(INDEX(Products!$S$3:$S$302,MATCH(A1284,Products!$A$3:$A$302,0)),"Product not found"),K1284-IF(L1284="Percentage",ROUND(K1284*N(M1284)/100,2),IF(L1284="Fixed amount",N(M1284),0))))</f>
        <v/>
      </c>
      <c r="O1284" s="17"/>
    </row>
    <row r="1285" spans="1:15" x14ac:dyDescent="0.3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8"/>
      <c r="L1285" s="16"/>
      <c r="M1285" s="16"/>
      <c r="N1285" s="19" t="str">
        <f>IF(A1285="","",IF(K1285="",IFERROR(INDEX(Products!$S$3:$S$302,MATCH(A1285,Products!$A$3:$A$302,0)),"Product not found"),K1285-IF(L1285="Percentage",ROUND(K1285*N(M1285)/100,2),IF(L1285="Fixed amount",N(M1285),0))))</f>
        <v/>
      </c>
      <c r="O1285" s="17"/>
    </row>
    <row r="1286" spans="1:15" x14ac:dyDescent="0.3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8"/>
      <c r="L1286" s="16"/>
      <c r="M1286" s="16"/>
      <c r="N1286" s="19" t="str">
        <f>IF(A1286="","",IF(K1286="",IFERROR(INDEX(Products!$S$3:$S$302,MATCH(A1286,Products!$A$3:$A$302,0)),"Product not found"),K1286-IF(L1286="Percentage",ROUND(K1286*N(M1286)/100,2),IF(L1286="Fixed amount",N(M1286),0))))</f>
        <v/>
      </c>
      <c r="O1286" s="17"/>
    </row>
    <row r="1287" spans="1:15" x14ac:dyDescent="0.3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8"/>
      <c r="L1287" s="16"/>
      <c r="M1287" s="16"/>
      <c r="N1287" s="19" t="str">
        <f>IF(A1287="","",IF(K1287="",IFERROR(INDEX(Products!$S$3:$S$302,MATCH(A1287,Products!$A$3:$A$302,0)),"Product not found"),K1287-IF(L1287="Percentage",ROUND(K1287*N(M1287)/100,2),IF(L1287="Fixed amount",N(M1287),0))))</f>
        <v/>
      </c>
      <c r="O1287" s="17"/>
    </row>
    <row r="1288" spans="1:15" x14ac:dyDescent="0.3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8"/>
      <c r="L1288" s="16"/>
      <c r="M1288" s="16"/>
      <c r="N1288" s="19" t="str">
        <f>IF(A1288="","",IF(K1288="",IFERROR(INDEX(Products!$S$3:$S$302,MATCH(A1288,Products!$A$3:$A$302,0)),"Product not found"),K1288-IF(L1288="Percentage",ROUND(K1288*N(M1288)/100,2),IF(L1288="Fixed amount",N(M1288),0))))</f>
        <v/>
      </c>
      <c r="O1288" s="17"/>
    </row>
    <row r="1289" spans="1:15" x14ac:dyDescent="0.3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8"/>
      <c r="L1289" s="16"/>
      <c r="M1289" s="16"/>
      <c r="N1289" s="19" t="str">
        <f>IF(A1289="","",IF(K1289="",IFERROR(INDEX(Products!$S$3:$S$302,MATCH(A1289,Products!$A$3:$A$302,0)),"Product not found"),K1289-IF(L1289="Percentage",ROUND(K1289*N(M1289)/100,2),IF(L1289="Fixed amount",N(M1289),0))))</f>
        <v/>
      </c>
      <c r="O1289" s="17"/>
    </row>
    <row r="1290" spans="1:15" x14ac:dyDescent="0.3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8"/>
      <c r="L1290" s="16"/>
      <c r="M1290" s="16"/>
      <c r="N1290" s="19" t="str">
        <f>IF(A1290="","",IF(K1290="",IFERROR(INDEX(Products!$S$3:$S$302,MATCH(A1290,Products!$A$3:$A$302,0)),"Product not found"),K1290-IF(L1290="Percentage",ROUND(K1290*N(M1290)/100,2),IF(L1290="Fixed amount",N(M1290),0))))</f>
        <v/>
      </c>
      <c r="O1290" s="17"/>
    </row>
    <row r="1291" spans="1:15" x14ac:dyDescent="0.3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8"/>
      <c r="L1291" s="16"/>
      <c r="M1291" s="16"/>
      <c r="N1291" s="19" t="str">
        <f>IF(A1291="","",IF(K1291="",IFERROR(INDEX(Products!$S$3:$S$302,MATCH(A1291,Products!$A$3:$A$302,0)),"Product not found"),K1291-IF(L1291="Percentage",ROUND(K1291*N(M1291)/100,2),IF(L1291="Fixed amount",N(M1291),0))))</f>
        <v/>
      </c>
      <c r="O1291" s="17"/>
    </row>
    <row r="1292" spans="1:15" x14ac:dyDescent="0.3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8"/>
      <c r="L1292" s="16"/>
      <c r="M1292" s="16"/>
      <c r="N1292" s="19" t="str">
        <f>IF(A1292="","",IF(K1292="",IFERROR(INDEX(Products!$S$3:$S$302,MATCH(A1292,Products!$A$3:$A$302,0)),"Product not found"),K1292-IF(L1292="Percentage",ROUND(K1292*N(M1292)/100,2),IF(L1292="Fixed amount",N(M1292),0))))</f>
        <v/>
      </c>
      <c r="O1292" s="17"/>
    </row>
    <row r="1293" spans="1:15" x14ac:dyDescent="0.3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8"/>
      <c r="L1293" s="16"/>
      <c r="M1293" s="16"/>
      <c r="N1293" s="19" t="str">
        <f>IF(A1293="","",IF(K1293="",IFERROR(INDEX(Products!$S$3:$S$302,MATCH(A1293,Products!$A$3:$A$302,0)),"Product not found"),K1293-IF(L1293="Percentage",ROUND(K1293*N(M1293)/100,2),IF(L1293="Fixed amount",N(M1293),0))))</f>
        <v/>
      </c>
      <c r="O1293" s="17"/>
    </row>
    <row r="1294" spans="1:15" x14ac:dyDescent="0.3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8"/>
      <c r="L1294" s="16"/>
      <c r="M1294" s="16"/>
      <c r="N1294" s="19" t="str">
        <f>IF(A1294="","",IF(K1294="",IFERROR(INDEX(Products!$S$3:$S$302,MATCH(A1294,Products!$A$3:$A$302,0)),"Product not found"),K1294-IF(L1294="Percentage",ROUND(K1294*N(M1294)/100,2),IF(L1294="Fixed amount",N(M1294),0))))</f>
        <v/>
      </c>
      <c r="O1294" s="17"/>
    </row>
    <row r="1295" spans="1:15" x14ac:dyDescent="0.3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8"/>
      <c r="L1295" s="16"/>
      <c r="M1295" s="16"/>
      <c r="N1295" s="19" t="str">
        <f>IF(A1295="","",IF(K1295="",IFERROR(INDEX(Products!$S$3:$S$302,MATCH(A1295,Products!$A$3:$A$302,0)),"Product not found"),K1295-IF(L1295="Percentage",ROUND(K1295*N(M1295)/100,2),IF(L1295="Fixed amount",N(M1295),0))))</f>
        <v/>
      </c>
      <c r="O1295" s="17"/>
    </row>
    <row r="1296" spans="1:15" x14ac:dyDescent="0.3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8"/>
      <c r="L1296" s="16"/>
      <c r="M1296" s="16"/>
      <c r="N1296" s="19" t="str">
        <f>IF(A1296="","",IF(K1296="",IFERROR(INDEX(Products!$S$3:$S$302,MATCH(A1296,Products!$A$3:$A$302,0)),"Product not found"),K1296-IF(L1296="Percentage",ROUND(K1296*N(M1296)/100,2),IF(L1296="Fixed amount",N(M1296),0))))</f>
        <v/>
      </c>
      <c r="O1296" s="17"/>
    </row>
    <row r="1297" spans="1:15" x14ac:dyDescent="0.3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8"/>
      <c r="L1297" s="16"/>
      <c r="M1297" s="16"/>
      <c r="N1297" s="19" t="str">
        <f>IF(A1297="","",IF(K1297="",IFERROR(INDEX(Products!$S$3:$S$302,MATCH(A1297,Products!$A$3:$A$302,0)),"Product not found"),K1297-IF(L1297="Percentage",ROUND(K1297*N(M1297)/100,2),IF(L1297="Fixed amount",N(M1297),0))))</f>
        <v/>
      </c>
      <c r="O1297" s="17"/>
    </row>
    <row r="1298" spans="1:15" x14ac:dyDescent="0.3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8"/>
      <c r="L1298" s="16"/>
      <c r="M1298" s="16"/>
      <c r="N1298" s="19" t="str">
        <f>IF(A1298="","",IF(K1298="",IFERROR(INDEX(Products!$S$3:$S$302,MATCH(A1298,Products!$A$3:$A$302,0)),"Product not found"),K1298-IF(L1298="Percentage",ROUND(K1298*N(M1298)/100,2),IF(L1298="Fixed amount",N(M1298),0))))</f>
        <v/>
      </c>
      <c r="O1298" s="17"/>
    </row>
    <row r="1299" spans="1:15" x14ac:dyDescent="0.3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8"/>
      <c r="L1299" s="16"/>
      <c r="M1299" s="16"/>
      <c r="N1299" s="19" t="str">
        <f>IF(A1299="","",IF(K1299="",IFERROR(INDEX(Products!$S$3:$S$302,MATCH(A1299,Products!$A$3:$A$302,0)),"Product not found"),K1299-IF(L1299="Percentage",ROUND(K1299*N(M1299)/100,2),IF(L1299="Fixed amount",N(M1299),0))))</f>
        <v/>
      </c>
      <c r="O1299" s="17"/>
    </row>
    <row r="1300" spans="1:15" x14ac:dyDescent="0.3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8"/>
      <c r="L1300" s="16"/>
      <c r="M1300" s="16"/>
      <c r="N1300" s="19" t="str">
        <f>IF(A1300="","",IF(K1300="",IFERROR(INDEX(Products!$S$3:$S$302,MATCH(A1300,Products!$A$3:$A$302,0)),"Product not found"),K1300-IF(L1300="Percentage",ROUND(K1300*N(M1300)/100,2),IF(L1300="Fixed amount",N(M1300),0))))</f>
        <v/>
      </c>
      <c r="O1300" s="17"/>
    </row>
    <row r="1301" spans="1:15" x14ac:dyDescent="0.3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8"/>
      <c r="L1301" s="16"/>
      <c r="M1301" s="16"/>
      <c r="N1301" s="19" t="str">
        <f>IF(A1301="","",IF(K1301="",IFERROR(INDEX(Products!$S$3:$S$302,MATCH(A1301,Products!$A$3:$A$302,0)),"Product not found"),K1301-IF(L1301="Percentage",ROUND(K1301*N(M1301)/100,2),IF(L1301="Fixed amount",N(M1301),0))))</f>
        <v/>
      </c>
      <c r="O1301" s="17"/>
    </row>
    <row r="1302" spans="1:15" x14ac:dyDescent="0.3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8"/>
      <c r="L1302" s="16"/>
      <c r="M1302" s="16"/>
      <c r="N1302" s="19" t="str">
        <f>IF(A1302="","",IF(K1302="",IFERROR(INDEX(Products!$S$3:$S$302,MATCH(A1302,Products!$A$3:$A$302,0)),"Product not found"),K1302-IF(L1302="Percentage",ROUND(K1302*N(M1302)/100,2),IF(L1302="Fixed amount",N(M1302),0))))</f>
        <v/>
      </c>
      <c r="O1302" s="17"/>
    </row>
    <row r="1303" spans="1:15" x14ac:dyDescent="0.3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8"/>
      <c r="L1303" s="16"/>
      <c r="M1303" s="16"/>
      <c r="N1303" s="19" t="str">
        <f>IF(A1303="","",IF(K1303="",IFERROR(INDEX(Products!$S$3:$S$302,MATCH(A1303,Products!$A$3:$A$302,0)),"Product not found"),K1303-IF(L1303="Percentage",ROUND(K1303*N(M1303)/100,2),IF(L1303="Fixed amount",N(M1303),0))))</f>
        <v/>
      </c>
      <c r="O1303" s="17"/>
    </row>
    <row r="1304" spans="1:15" x14ac:dyDescent="0.3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8"/>
      <c r="L1304" s="16"/>
      <c r="M1304" s="16"/>
      <c r="N1304" s="19" t="str">
        <f>IF(A1304="","",IF(K1304="",IFERROR(INDEX(Products!$S$3:$S$302,MATCH(A1304,Products!$A$3:$A$302,0)),"Product not found"),K1304-IF(L1304="Percentage",ROUND(K1304*N(M1304)/100,2),IF(L1304="Fixed amount",N(M1304),0))))</f>
        <v/>
      </c>
      <c r="O1304" s="17"/>
    </row>
    <row r="1305" spans="1:15" x14ac:dyDescent="0.3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8"/>
      <c r="L1305" s="16"/>
      <c r="M1305" s="16"/>
      <c r="N1305" s="19" t="str">
        <f>IF(A1305="","",IF(K1305="",IFERROR(INDEX(Products!$S$3:$S$302,MATCH(A1305,Products!$A$3:$A$302,0)),"Product not found"),K1305-IF(L1305="Percentage",ROUND(K1305*N(M1305)/100,2),IF(L1305="Fixed amount",N(M1305),0))))</f>
        <v/>
      </c>
      <c r="O1305" s="17"/>
    </row>
    <row r="1306" spans="1:15" x14ac:dyDescent="0.3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8"/>
      <c r="L1306" s="16"/>
      <c r="M1306" s="16"/>
      <c r="N1306" s="19" t="str">
        <f>IF(A1306="","",IF(K1306="",IFERROR(INDEX(Products!$S$3:$S$302,MATCH(A1306,Products!$A$3:$A$302,0)),"Product not found"),K1306-IF(L1306="Percentage",ROUND(K1306*N(M1306)/100,2),IF(L1306="Fixed amount",N(M1306),0))))</f>
        <v/>
      </c>
      <c r="O1306" s="17"/>
    </row>
    <row r="1307" spans="1:15" x14ac:dyDescent="0.3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8"/>
      <c r="L1307" s="16"/>
      <c r="M1307" s="16"/>
      <c r="N1307" s="19" t="str">
        <f>IF(A1307="","",IF(K1307="",IFERROR(INDEX(Products!$S$3:$S$302,MATCH(A1307,Products!$A$3:$A$302,0)),"Product not found"),K1307-IF(L1307="Percentage",ROUND(K1307*N(M1307)/100,2),IF(L1307="Fixed amount",N(M1307),0))))</f>
        <v/>
      </c>
      <c r="O1307" s="17"/>
    </row>
    <row r="1308" spans="1:15" x14ac:dyDescent="0.3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8"/>
      <c r="L1308" s="16"/>
      <c r="M1308" s="16"/>
      <c r="N1308" s="19" t="str">
        <f>IF(A1308="","",IF(K1308="",IFERROR(INDEX(Products!$S$3:$S$302,MATCH(A1308,Products!$A$3:$A$302,0)),"Product not found"),K1308-IF(L1308="Percentage",ROUND(K1308*N(M1308)/100,2),IF(L1308="Fixed amount",N(M1308),0))))</f>
        <v/>
      </c>
      <c r="O1308" s="17"/>
    </row>
    <row r="1309" spans="1:15" x14ac:dyDescent="0.3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8"/>
      <c r="L1309" s="16"/>
      <c r="M1309" s="16"/>
      <c r="N1309" s="19" t="str">
        <f>IF(A1309="","",IF(K1309="",IFERROR(INDEX(Products!$S$3:$S$302,MATCH(A1309,Products!$A$3:$A$302,0)),"Product not found"),K1309-IF(L1309="Percentage",ROUND(K1309*N(M1309)/100,2),IF(L1309="Fixed amount",N(M1309),0))))</f>
        <v/>
      </c>
      <c r="O1309" s="17"/>
    </row>
    <row r="1310" spans="1:15" x14ac:dyDescent="0.3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8"/>
      <c r="L1310" s="16"/>
      <c r="M1310" s="16"/>
      <c r="N1310" s="19" t="str">
        <f>IF(A1310="","",IF(K1310="",IFERROR(INDEX(Products!$S$3:$S$302,MATCH(A1310,Products!$A$3:$A$302,0)),"Product not found"),K1310-IF(L1310="Percentage",ROUND(K1310*N(M1310)/100,2),IF(L1310="Fixed amount",N(M1310),0))))</f>
        <v/>
      </c>
      <c r="O1310" s="17"/>
    </row>
    <row r="1311" spans="1:15" x14ac:dyDescent="0.3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8"/>
      <c r="L1311" s="16"/>
      <c r="M1311" s="16"/>
      <c r="N1311" s="19" t="str">
        <f>IF(A1311="","",IF(K1311="",IFERROR(INDEX(Products!$S$3:$S$302,MATCH(A1311,Products!$A$3:$A$302,0)),"Product not found"),K1311-IF(L1311="Percentage",ROUND(K1311*N(M1311)/100,2),IF(L1311="Fixed amount",N(M1311),0))))</f>
        <v/>
      </c>
      <c r="O1311" s="17"/>
    </row>
    <row r="1312" spans="1:15" x14ac:dyDescent="0.3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8"/>
      <c r="L1312" s="16"/>
      <c r="M1312" s="16"/>
      <c r="N1312" s="19" t="str">
        <f>IF(A1312="","",IF(K1312="",IFERROR(INDEX(Products!$S$3:$S$302,MATCH(A1312,Products!$A$3:$A$302,0)),"Product not found"),K1312-IF(L1312="Percentage",ROUND(K1312*N(M1312)/100,2),IF(L1312="Fixed amount",N(M1312),0))))</f>
        <v/>
      </c>
      <c r="O1312" s="17"/>
    </row>
    <row r="1313" spans="1:15" x14ac:dyDescent="0.3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8"/>
      <c r="L1313" s="16"/>
      <c r="M1313" s="16"/>
      <c r="N1313" s="19" t="str">
        <f>IF(A1313="","",IF(K1313="",IFERROR(INDEX(Products!$S$3:$S$302,MATCH(A1313,Products!$A$3:$A$302,0)),"Product not found"),K1313-IF(L1313="Percentage",ROUND(K1313*N(M1313)/100,2),IF(L1313="Fixed amount",N(M1313),0))))</f>
        <v/>
      </c>
      <c r="O1313" s="17"/>
    </row>
    <row r="1314" spans="1:15" x14ac:dyDescent="0.3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8"/>
      <c r="L1314" s="16"/>
      <c r="M1314" s="16"/>
      <c r="N1314" s="19" t="str">
        <f>IF(A1314="","",IF(K1314="",IFERROR(INDEX(Products!$S$3:$S$302,MATCH(A1314,Products!$A$3:$A$302,0)),"Product not found"),K1314-IF(L1314="Percentage",ROUND(K1314*N(M1314)/100,2),IF(L1314="Fixed amount",N(M1314),0))))</f>
        <v/>
      </c>
      <c r="O1314" s="17"/>
    </row>
    <row r="1315" spans="1:15" x14ac:dyDescent="0.3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8"/>
      <c r="L1315" s="16"/>
      <c r="M1315" s="16"/>
      <c r="N1315" s="19" t="str">
        <f>IF(A1315="","",IF(K1315="",IFERROR(INDEX(Products!$S$3:$S$302,MATCH(A1315,Products!$A$3:$A$302,0)),"Product not found"),K1315-IF(L1315="Percentage",ROUND(K1315*N(M1315)/100,2),IF(L1315="Fixed amount",N(M1315),0))))</f>
        <v/>
      </c>
      <c r="O1315" s="17"/>
    </row>
    <row r="1316" spans="1:15" x14ac:dyDescent="0.3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8"/>
      <c r="L1316" s="16"/>
      <c r="M1316" s="16"/>
      <c r="N1316" s="19" t="str">
        <f>IF(A1316="","",IF(K1316="",IFERROR(INDEX(Products!$S$3:$S$302,MATCH(A1316,Products!$A$3:$A$302,0)),"Product not found"),K1316-IF(L1316="Percentage",ROUND(K1316*N(M1316)/100,2),IF(L1316="Fixed amount",N(M1316),0))))</f>
        <v/>
      </c>
      <c r="O1316" s="17"/>
    </row>
    <row r="1317" spans="1:15" x14ac:dyDescent="0.3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8"/>
      <c r="L1317" s="16"/>
      <c r="M1317" s="16"/>
      <c r="N1317" s="19" t="str">
        <f>IF(A1317="","",IF(K1317="",IFERROR(INDEX(Products!$S$3:$S$302,MATCH(A1317,Products!$A$3:$A$302,0)),"Product not found"),K1317-IF(L1317="Percentage",ROUND(K1317*N(M1317)/100,2),IF(L1317="Fixed amount",N(M1317),0))))</f>
        <v/>
      </c>
      <c r="O1317" s="17"/>
    </row>
    <row r="1318" spans="1:15" x14ac:dyDescent="0.3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8"/>
      <c r="L1318" s="16"/>
      <c r="M1318" s="16"/>
      <c r="N1318" s="19" t="str">
        <f>IF(A1318="","",IF(K1318="",IFERROR(INDEX(Products!$S$3:$S$302,MATCH(A1318,Products!$A$3:$A$302,0)),"Product not found"),K1318-IF(L1318="Percentage",ROUND(K1318*N(M1318)/100,2),IF(L1318="Fixed amount",N(M1318),0))))</f>
        <v/>
      </c>
      <c r="O1318" s="17"/>
    </row>
    <row r="1319" spans="1:15" x14ac:dyDescent="0.3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8"/>
      <c r="L1319" s="16"/>
      <c r="M1319" s="16"/>
      <c r="N1319" s="19" t="str">
        <f>IF(A1319="","",IF(K1319="",IFERROR(INDEX(Products!$S$3:$S$302,MATCH(A1319,Products!$A$3:$A$302,0)),"Product not found"),K1319-IF(L1319="Percentage",ROUND(K1319*N(M1319)/100,2),IF(L1319="Fixed amount",N(M1319),0))))</f>
        <v/>
      </c>
      <c r="O1319" s="17"/>
    </row>
    <row r="1320" spans="1:15" x14ac:dyDescent="0.3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8"/>
      <c r="L1320" s="16"/>
      <c r="M1320" s="16"/>
      <c r="N1320" s="19" t="str">
        <f>IF(A1320="","",IF(K1320="",IFERROR(INDEX(Products!$S$3:$S$302,MATCH(A1320,Products!$A$3:$A$302,0)),"Product not found"),K1320-IF(L1320="Percentage",ROUND(K1320*N(M1320)/100,2),IF(L1320="Fixed amount",N(M1320),0))))</f>
        <v/>
      </c>
      <c r="O1320" s="17"/>
    </row>
    <row r="1321" spans="1:15" x14ac:dyDescent="0.3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8"/>
      <c r="L1321" s="16"/>
      <c r="M1321" s="16"/>
      <c r="N1321" s="19" t="str">
        <f>IF(A1321="","",IF(K1321="",IFERROR(INDEX(Products!$S$3:$S$302,MATCH(A1321,Products!$A$3:$A$302,0)),"Product not found"),K1321-IF(L1321="Percentage",ROUND(K1321*N(M1321)/100,2),IF(L1321="Fixed amount",N(M1321),0))))</f>
        <v/>
      </c>
      <c r="O1321" s="17"/>
    </row>
    <row r="1322" spans="1:15" x14ac:dyDescent="0.3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8"/>
      <c r="L1322" s="16"/>
      <c r="M1322" s="16"/>
      <c r="N1322" s="19" t="str">
        <f>IF(A1322="","",IF(K1322="",IFERROR(INDEX(Products!$S$3:$S$302,MATCH(A1322,Products!$A$3:$A$302,0)),"Product not found"),K1322-IF(L1322="Percentage",ROUND(K1322*N(M1322)/100,2),IF(L1322="Fixed amount",N(M1322),0))))</f>
        <v/>
      </c>
      <c r="O1322" s="17"/>
    </row>
    <row r="1323" spans="1:15" x14ac:dyDescent="0.3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8"/>
      <c r="L1323" s="16"/>
      <c r="M1323" s="16"/>
      <c r="N1323" s="19" t="str">
        <f>IF(A1323="","",IF(K1323="",IFERROR(INDEX(Products!$S$3:$S$302,MATCH(A1323,Products!$A$3:$A$302,0)),"Product not found"),K1323-IF(L1323="Percentage",ROUND(K1323*N(M1323)/100,2),IF(L1323="Fixed amount",N(M1323),0))))</f>
        <v/>
      </c>
      <c r="O1323" s="17"/>
    </row>
    <row r="1324" spans="1:15" x14ac:dyDescent="0.3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8"/>
      <c r="L1324" s="16"/>
      <c r="M1324" s="16"/>
      <c r="N1324" s="19" t="str">
        <f>IF(A1324="","",IF(K1324="",IFERROR(INDEX(Products!$S$3:$S$302,MATCH(A1324,Products!$A$3:$A$302,0)),"Product not found"),K1324-IF(L1324="Percentage",ROUND(K1324*N(M1324)/100,2),IF(L1324="Fixed amount",N(M1324),0))))</f>
        <v/>
      </c>
      <c r="O1324" s="17"/>
    </row>
    <row r="1325" spans="1:15" x14ac:dyDescent="0.3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8"/>
      <c r="L1325" s="16"/>
      <c r="M1325" s="16"/>
      <c r="N1325" s="19" t="str">
        <f>IF(A1325="","",IF(K1325="",IFERROR(INDEX(Products!$S$3:$S$302,MATCH(A1325,Products!$A$3:$A$302,0)),"Product not found"),K1325-IF(L1325="Percentage",ROUND(K1325*N(M1325)/100,2),IF(L1325="Fixed amount",N(M1325),0))))</f>
        <v/>
      </c>
      <c r="O1325" s="17"/>
    </row>
    <row r="1326" spans="1:15" x14ac:dyDescent="0.3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8"/>
      <c r="L1326" s="16"/>
      <c r="M1326" s="16"/>
      <c r="N1326" s="19" t="str">
        <f>IF(A1326="","",IF(K1326="",IFERROR(INDEX(Products!$S$3:$S$302,MATCH(A1326,Products!$A$3:$A$302,0)),"Product not found"),K1326-IF(L1326="Percentage",ROUND(K1326*N(M1326)/100,2),IF(L1326="Fixed amount",N(M1326),0))))</f>
        <v/>
      </c>
      <c r="O1326" s="17"/>
    </row>
    <row r="1327" spans="1:15" x14ac:dyDescent="0.3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8"/>
      <c r="L1327" s="16"/>
      <c r="M1327" s="16"/>
      <c r="N1327" s="19" t="str">
        <f>IF(A1327="","",IF(K1327="",IFERROR(INDEX(Products!$S$3:$S$302,MATCH(A1327,Products!$A$3:$A$302,0)),"Product not found"),K1327-IF(L1327="Percentage",ROUND(K1327*N(M1327)/100,2),IF(L1327="Fixed amount",N(M1327),0))))</f>
        <v/>
      </c>
      <c r="O1327" s="17"/>
    </row>
    <row r="1328" spans="1:15" x14ac:dyDescent="0.3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8"/>
      <c r="L1328" s="16"/>
      <c r="M1328" s="16"/>
      <c r="N1328" s="19" t="str">
        <f>IF(A1328="","",IF(K1328="",IFERROR(INDEX(Products!$S$3:$S$302,MATCH(A1328,Products!$A$3:$A$302,0)),"Product not found"),K1328-IF(L1328="Percentage",ROUND(K1328*N(M1328)/100,2),IF(L1328="Fixed amount",N(M1328),0))))</f>
        <v/>
      </c>
      <c r="O1328" s="17"/>
    </row>
    <row r="1329" spans="1:15" x14ac:dyDescent="0.3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8"/>
      <c r="L1329" s="16"/>
      <c r="M1329" s="16"/>
      <c r="N1329" s="19" t="str">
        <f>IF(A1329="","",IF(K1329="",IFERROR(INDEX(Products!$S$3:$S$302,MATCH(A1329,Products!$A$3:$A$302,0)),"Product not found"),K1329-IF(L1329="Percentage",ROUND(K1329*N(M1329)/100,2),IF(L1329="Fixed amount",N(M1329),0))))</f>
        <v/>
      </c>
      <c r="O1329" s="17"/>
    </row>
    <row r="1330" spans="1:15" x14ac:dyDescent="0.3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8"/>
      <c r="L1330" s="16"/>
      <c r="M1330" s="16"/>
      <c r="N1330" s="19" t="str">
        <f>IF(A1330="","",IF(K1330="",IFERROR(INDEX(Products!$S$3:$S$302,MATCH(A1330,Products!$A$3:$A$302,0)),"Product not found"),K1330-IF(L1330="Percentage",ROUND(K1330*N(M1330)/100,2),IF(L1330="Fixed amount",N(M1330),0))))</f>
        <v/>
      </c>
      <c r="O1330" s="17"/>
    </row>
    <row r="1331" spans="1:15" x14ac:dyDescent="0.3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8"/>
      <c r="L1331" s="16"/>
      <c r="M1331" s="16"/>
      <c r="N1331" s="19" t="str">
        <f>IF(A1331="","",IF(K1331="",IFERROR(INDEX(Products!$S$3:$S$302,MATCH(A1331,Products!$A$3:$A$302,0)),"Product not found"),K1331-IF(L1331="Percentage",ROUND(K1331*N(M1331)/100,2),IF(L1331="Fixed amount",N(M1331),0))))</f>
        <v/>
      </c>
      <c r="O1331" s="17"/>
    </row>
    <row r="1332" spans="1:15" x14ac:dyDescent="0.3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8"/>
      <c r="L1332" s="16"/>
      <c r="M1332" s="16"/>
      <c r="N1332" s="19" t="str">
        <f>IF(A1332="","",IF(K1332="",IFERROR(INDEX(Products!$S$3:$S$302,MATCH(A1332,Products!$A$3:$A$302,0)),"Product not found"),K1332-IF(L1332="Percentage",ROUND(K1332*N(M1332)/100,2),IF(L1332="Fixed amount",N(M1332),0))))</f>
        <v/>
      </c>
      <c r="O1332" s="17"/>
    </row>
    <row r="1333" spans="1:15" x14ac:dyDescent="0.3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8"/>
      <c r="L1333" s="16"/>
      <c r="M1333" s="16"/>
      <c r="N1333" s="19" t="str">
        <f>IF(A1333="","",IF(K1333="",IFERROR(INDEX(Products!$S$3:$S$302,MATCH(A1333,Products!$A$3:$A$302,0)),"Product not found"),K1333-IF(L1333="Percentage",ROUND(K1333*N(M1333)/100,2),IF(L1333="Fixed amount",N(M1333),0))))</f>
        <v/>
      </c>
      <c r="O1333" s="17"/>
    </row>
    <row r="1334" spans="1:15" x14ac:dyDescent="0.3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8"/>
      <c r="L1334" s="16"/>
      <c r="M1334" s="16"/>
      <c r="N1334" s="19" t="str">
        <f>IF(A1334="","",IF(K1334="",IFERROR(INDEX(Products!$S$3:$S$302,MATCH(A1334,Products!$A$3:$A$302,0)),"Product not found"),K1334-IF(L1334="Percentage",ROUND(K1334*N(M1334)/100,2),IF(L1334="Fixed amount",N(M1334),0))))</f>
        <v/>
      </c>
      <c r="O1334" s="17"/>
    </row>
    <row r="1335" spans="1:15" x14ac:dyDescent="0.3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8"/>
      <c r="L1335" s="16"/>
      <c r="M1335" s="16"/>
      <c r="N1335" s="19" t="str">
        <f>IF(A1335="","",IF(K1335="",IFERROR(INDEX(Products!$S$3:$S$302,MATCH(A1335,Products!$A$3:$A$302,0)),"Product not found"),K1335-IF(L1335="Percentage",ROUND(K1335*N(M1335)/100,2),IF(L1335="Fixed amount",N(M1335),0))))</f>
        <v/>
      </c>
      <c r="O1335" s="17"/>
    </row>
    <row r="1336" spans="1:15" x14ac:dyDescent="0.3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8"/>
      <c r="L1336" s="16"/>
      <c r="M1336" s="16"/>
      <c r="N1336" s="19" t="str">
        <f>IF(A1336="","",IF(K1336="",IFERROR(INDEX(Products!$S$3:$S$302,MATCH(A1336,Products!$A$3:$A$302,0)),"Product not found"),K1336-IF(L1336="Percentage",ROUND(K1336*N(M1336)/100,2),IF(L1336="Fixed amount",N(M1336),0))))</f>
        <v/>
      </c>
      <c r="O1336" s="17"/>
    </row>
    <row r="1337" spans="1:15" x14ac:dyDescent="0.3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8"/>
      <c r="L1337" s="16"/>
      <c r="M1337" s="16"/>
      <c r="N1337" s="19" t="str">
        <f>IF(A1337="","",IF(K1337="",IFERROR(INDEX(Products!$S$3:$S$302,MATCH(A1337,Products!$A$3:$A$302,0)),"Product not found"),K1337-IF(L1337="Percentage",ROUND(K1337*N(M1337)/100,2),IF(L1337="Fixed amount",N(M1337),0))))</f>
        <v/>
      </c>
      <c r="O1337" s="17"/>
    </row>
    <row r="1338" spans="1:15" x14ac:dyDescent="0.3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8"/>
      <c r="L1338" s="16"/>
      <c r="M1338" s="16"/>
      <c r="N1338" s="19" t="str">
        <f>IF(A1338="","",IF(K1338="",IFERROR(INDEX(Products!$S$3:$S$302,MATCH(A1338,Products!$A$3:$A$302,0)),"Product not found"),K1338-IF(L1338="Percentage",ROUND(K1338*N(M1338)/100,2),IF(L1338="Fixed amount",N(M1338),0))))</f>
        <v/>
      </c>
      <c r="O1338" s="17"/>
    </row>
    <row r="1339" spans="1:15" x14ac:dyDescent="0.3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8"/>
      <c r="L1339" s="16"/>
      <c r="M1339" s="16"/>
      <c r="N1339" s="19" t="str">
        <f>IF(A1339="","",IF(K1339="",IFERROR(INDEX(Products!$S$3:$S$302,MATCH(A1339,Products!$A$3:$A$302,0)),"Product not found"),K1339-IF(L1339="Percentage",ROUND(K1339*N(M1339)/100,2),IF(L1339="Fixed amount",N(M1339),0))))</f>
        <v/>
      </c>
      <c r="O1339" s="17"/>
    </row>
    <row r="1340" spans="1:15" x14ac:dyDescent="0.3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8"/>
      <c r="L1340" s="16"/>
      <c r="M1340" s="16"/>
      <c r="N1340" s="19" t="str">
        <f>IF(A1340="","",IF(K1340="",IFERROR(INDEX(Products!$S$3:$S$302,MATCH(A1340,Products!$A$3:$A$302,0)),"Product not found"),K1340-IF(L1340="Percentage",ROUND(K1340*N(M1340)/100,2),IF(L1340="Fixed amount",N(M1340),0))))</f>
        <v/>
      </c>
      <c r="O1340" s="17"/>
    </row>
    <row r="1341" spans="1:15" x14ac:dyDescent="0.3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8"/>
      <c r="L1341" s="16"/>
      <c r="M1341" s="16"/>
      <c r="N1341" s="19" t="str">
        <f>IF(A1341="","",IF(K1341="",IFERROR(INDEX(Products!$S$3:$S$302,MATCH(A1341,Products!$A$3:$A$302,0)),"Product not found"),K1341-IF(L1341="Percentage",ROUND(K1341*N(M1341)/100,2),IF(L1341="Fixed amount",N(M1341),0))))</f>
        <v/>
      </c>
      <c r="O1341" s="17"/>
    </row>
    <row r="1342" spans="1:15" x14ac:dyDescent="0.3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8"/>
      <c r="L1342" s="16"/>
      <c r="M1342" s="16"/>
      <c r="N1342" s="19" t="str">
        <f>IF(A1342="","",IF(K1342="",IFERROR(INDEX(Products!$S$3:$S$302,MATCH(A1342,Products!$A$3:$A$302,0)),"Product not found"),K1342-IF(L1342="Percentage",ROUND(K1342*N(M1342)/100,2),IF(L1342="Fixed amount",N(M1342),0))))</f>
        <v/>
      </c>
      <c r="O1342" s="17"/>
    </row>
    <row r="1343" spans="1:15" x14ac:dyDescent="0.3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8"/>
      <c r="L1343" s="16"/>
      <c r="M1343" s="16"/>
      <c r="N1343" s="19" t="str">
        <f>IF(A1343="","",IF(K1343="",IFERROR(INDEX(Products!$S$3:$S$302,MATCH(A1343,Products!$A$3:$A$302,0)),"Product not found"),K1343-IF(L1343="Percentage",ROUND(K1343*N(M1343)/100,2),IF(L1343="Fixed amount",N(M1343),0))))</f>
        <v/>
      </c>
      <c r="O1343" s="17"/>
    </row>
    <row r="1344" spans="1:15" x14ac:dyDescent="0.3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8"/>
      <c r="L1344" s="16"/>
      <c r="M1344" s="16"/>
      <c r="N1344" s="19" t="str">
        <f>IF(A1344="","",IF(K1344="",IFERROR(INDEX(Products!$S$3:$S$302,MATCH(A1344,Products!$A$3:$A$302,0)),"Product not found"),K1344-IF(L1344="Percentage",ROUND(K1344*N(M1344)/100,2),IF(L1344="Fixed amount",N(M1344),0))))</f>
        <v/>
      </c>
      <c r="O1344" s="17"/>
    </row>
    <row r="1345" spans="1:15" x14ac:dyDescent="0.3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8"/>
      <c r="L1345" s="16"/>
      <c r="M1345" s="16"/>
      <c r="N1345" s="19" t="str">
        <f>IF(A1345="","",IF(K1345="",IFERROR(INDEX(Products!$S$3:$S$302,MATCH(A1345,Products!$A$3:$A$302,0)),"Product not found"),K1345-IF(L1345="Percentage",ROUND(K1345*N(M1345)/100,2),IF(L1345="Fixed amount",N(M1345),0))))</f>
        <v/>
      </c>
      <c r="O1345" s="17"/>
    </row>
    <row r="1346" spans="1:15" x14ac:dyDescent="0.3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8"/>
      <c r="L1346" s="16"/>
      <c r="M1346" s="16"/>
      <c r="N1346" s="19" t="str">
        <f>IF(A1346="","",IF(K1346="",IFERROR(INDEX(Products!$S$3:$S$302,MATCH(A1346,Products!$A$3:$A$302,0)),"Product not found"),K1346-IF(L1346="Percentage",ROUND(K1346*N(M1346)/100,2),IF(L1346="Fixed amount",N(M1346),0))))</f>
        <v/>
      </c>
      <c r="O1346" s="17"/>
    </row>
    <row r="1347" spans="1:15" x14ac:dyDescent="0.3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8"/>
      <c r="L1347" s="16"/>
      <c r="M1347" s="16"/>
      <c r="N1347" s="19" t="str">
        <f>IF(A1347="","",IF(K1347="",IFERROR(INDEX(Products!$S$3:$S$302,MATCH(A1347,Products!$A$3:$A$302,0)),"Product not found"),K1347-IF(L1347="Percentage",ROUND(K1347*N(M1347)/100,2),IF(L1347="Fixed amount",N(M1347),0))))</f>
        <v/>
      </c>
      <c r="O1347" s="17"/>
    </row>
    <row r="1348" spans="1:15" x14ac:dyDescent="0.3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8"/>
      <c r="L1348" s="16"/>
      <c r="M1348" s="16"/>
      <c r="N1348" s="19" t="str">
        <f>IF(A1348="","",IF(K1348="",IFERROR(INDEX(Products!$S$3:$S$302,MATCH(A1348,Products!$A$3:$A$302,0)),"Product not found"),K1348-IF(L1348="Percentage",ROUND(K1348*N(M1348)/100,2),IF(L1348="Fixed amount",N(M1348),0))))</f>
        <v/>
      </c>
      <c r="O1348" s="17"/>
    </row>
    <row r="1349" spans="1:15" x14ac:dyDescent="0.3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8"/>
      <c r="L1349" s="16"/>
      <c r="M1349" s="16"/>
      <c r="N1349" s="19" t="str">
        <f>IF(A1349="","",IF(K1349="",IFERROR(INDEX(Products!$S$3:$S$302,MATCH(A1349,Products!$A$3:$A$302,0)),"Product not found"),K1349-IF(L1349="Percentage",ROUND(K1349*N(M1349)/100,2),IF(L1349="Fixed amount",N(M1349),0))))</f>
        <v/>
      </c>
      <c r="O1349" s="17"/>
    </row>
    <row r="1350" spans="1:15" x14ac:dyDescent="0.3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8"/>
      <c r="L1350" s="16"/>
      <c r="M1350" s="16"/>
      <c r="N1350" s="19" t="str">
        <f>IF(A1350="","",IF(K1350="",IFERROR(INDEX(Products!$S$3:$S$302,MATCH(A1350,Products!$A$3:$A$302,0)),"Product not found"),K1350-IF(L1350="Percentage",ROUND(K1350*N(M1350)/100,2),IF(L1350="Fixed amount",N(M1350),0))))</f>
        <v/>
      </c>
      <c r="O1350" s="17"/>
    </row>
    <row r="1351" spans="1:15" x14ac:dyDescent="0.3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8"/>
      <c r="L1351" s="16"/>
      <c r="M1351" s="16"/>
      <c r="N1351" s="19" t="str">
        <f>IF(A1351="","",IF(K1351="",IFERROR(INDEX(Products!$S$3:$S$302,MATCH(A1351,Products!$A$3:$A$302,0)),"Product not found"),K1351-IF(L1351="Percentage",ROUND(K1351*N(M1351)/100,2),IF(L1351="Fixed amount",N(M1351),0))))</f>
        <v/>
      </c>
      <c r="O1351" s="17"/>
    </row>
    <row r="1352" spans="1:15" x14ac:dyDescent="0.3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8"/>
      <c r="L1352" s="16"/>
      <c r="M1352" s="16"/>
      <c r="N1352" s="19" t="str">
        <f>IF(A1352="","",IF(K1352="",IFERROR(INDEX(Products!$S$3:$S$302,MATCH(A1352,Products!$A$3:$A$302,0)),"Product not found"),K1352-IF(L1352="Percentage",ROUND(K1352*N(M1352)/100,2),IF(L1352="Fixed amount",N(M1352),0))))</f>
        <v/>
      </c>
      <c r="O1352" s="17"/>
    </row>
    <row r="1353" spans="1:15" x14ac:dyDescent="0.3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8"/>
      <c r="L1353" s="16"/>
      <c r="M1353" s="16"/>
      <c r="N1353" s="19" t="str">
        <f>IF(A1353="","",IF(K1353="",IFERROR(INDEX(Products!$S$3:$S$302,MATCH(A1353,Products!$A$3:$A$302,0)),"Product not found"),K1353-IF(L1353="Percentage",ROUND(K1353*N(M1353)/100,2),IF(L1353="Fixed amount",N(M1353),0))))</f>
        <v/>
      </c>
      <c r="O1353" s="17"/>
    </row>
    <row r="1354" spans="1:15" x14ac:dyDescent="0.3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8"/>
      <c r="L1354" s="16"/>
      <c r="M1354" s="16"/>
      <c r="N1354" s="19" t="str">
        <f>IF(A1354="","",IF(K1354="",IFERROR(INDEX(Products!$S$3:$S$302,MATCH(A1354,Products!$A$3:$A$302,0)),"Product not found"),K1354-IF(L1354="Percentage",ROUND(K1354*N(M1354)/100,2),IF(L1354="Fixed amount",N(M1354),0))))</f>
        <v/>
      </c>
      <c r="O1354" s="17"/>
    </row>
    <row r="1355" spans="1:15" x14ac:dyDescent="0.3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8"/>
      <c r="L1355" s="16"/>
      <c r="M1355" s="16"/>
      <c r="N1355" s="19" t="str">
        <f>IF(A1355="","",IF(K1355="",IFERROR(INDEX(Products!$S$3:$S$302,MATCH(A1355,Products!$A$3:$A$302,0)),"Product not found"),K1355-IF(L1355="Percentage",ROUND(K1355*N(M1355)/100,2),IF(L1355="Fixed amount",N(M1355),0))))</f>
        <v/>
      </c>
      <c r="O1355" s="17"/>
    </row>
    <row r="1356" spans="1:15" x14ac:dyDescent="0.3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8"/>
      <c r="L1356" s="16"/>
      <c r="M1356" s="16"/>
      <c r="N1356" s="19" t="str">
        <f>IF(A1356="","",IF(K1356="",IFERROR(INDEX(Products!$S$3:$S$302,MATCH(A1356,Products!$A$3:$A$302,0)),"Product not found"),K1356-IF(L1356="Percentage",ROUND(K1356*N(M1356)/100,2),IF(L1356="Fixed amount",N(M1356),0))))</f>
        <v/>
      </c>
      <c r="O1356" s="17"/>
    </row>
    <row r="1357" spans="1:15" x14ac:dyDescent="0.3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8"/>
      <c r="L1357" s="16"/>
      <c r="M1357" s="16"/>
      <c r="N1357" s="19" t="str">
        <f>IF(A1357="","",IF(K1357="",IFERROR(INDEX(Products!$S$3:$S$302,MATCH(A1357,Products!$A$3:$A$302,0)),"Product not found"),K1357-IF(L1357="Percentage",ROUND(K1357*N(M1357)/100,2),IF(L1357="Fixed amount",N(M1357),0))))</f>
        <v/>
      </c>
      <c r="O1357" s="17"/>
    </row>
    <row r="1358" spans="1:15" x14ac:dyDescent="0.3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8"/>
      <c r="L1358" s="16"/>
      <c r="M1358" s="16"/>
      <c r="N1358" s="19" t="str">
        <f>IF(A1358="","",IF(K1358="",IFERROR(INDEX(Products!$S$3:$S$302,MATCH(A1358,Products!$A$3:$A$302,0)),"Product not found"),K1358-IF(L1358="Percentage",ROUND(K1358*N(M1358)/100,2),IF(L1358="Fixed amount",N(M1358),0))))</f>
        <v/>
      </c>
      <c r="O1358" s="17"/>
    </row>
    <row r="1359" spans="1:15" x14ac:dyDescent="0.3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8"/>
      <c r="L1359" s="16"/>
      <c r="M1359" s="16"/>
      <c r="N1359" s="19" t="str">
        <f>IF(A1359="","",IF(K1359="",IFERROR(INDEX(Products!$S$3:$S$302,MATCH(A1359,Products!$A$3:$A$302,0)),"Product not found"),K1359-IF(L1359="Percentage",ROUND(K1359*N(M1359)/100,2),IF(L1359="Fixed amount",N(M1359),0))))</f>
        <v/>
      </c>
      <c r="O1359" s="17"/>
    </row>
    <row r="1360" spans="1:15" x14ac:dyDescent="0.3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8"/>
      <c r="L1360" s="16"/>
      <c r="M1360" s="16"/>
      <c r="N1360" s="19" t="str">
        <f>IF(A1360="","",IF(K1360="",IFERROR(INDEX(Products!$S$3:$S$302,MATCH(A1360,Products!$A$3:$A$302,0)),"Product not found"),K1360-IF(L1360="Percentage",ROUND(K1360*N(M1360)/100,2),IF(L1360="Fixed amount",N(M1360),0))))</f>
        <v/>
      </c>
      <c r="O1360" s="17"/>
    </row>
    <row r="1361" spans="1:15" x14ac:dyDescent="0.3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8"/>
      <c r="L1361" s="16"/>
      <c r="M1361" s="16"/>
      <c r="N1361" s="19" t="str">
        <f>IF(A1361="","",IF(K1361="",IFERROR(INDEX(Products!$S$3:$S$302,MATCH(A1361,Products!$A$3:$A$302,0)),"Product not found"),K1361-IF(L1361="Percentage",ROUND(K1361*N(M1361)/100,2),IF(L1361="Fixed amount",N(M1361),0))))</f>
        <v/>
      </c>
      <c r="O1361" s="17"/>
    </row>
    <row r="1362" spans="1:15" x14ac:dyDescent="0.3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8"/>
      <c r="L1362" s="16"/>
      <c r="M1362" s="16"/>
      <c r="N1362" s="19" t="str">
        <f>IF(A1362="","",IF(K1362="",IFERROR(INDEX(Products!$S$3:$S$302,MATCH(A1362,Products!$A$3:$A$302,0)),"Product not found"),K1362-IF(L1362="Percentage",ROUND(K1362*N(M1362)/100,2),IF(L1362="Fixed amount",N(M1362),0))))</f>
        <v/>
      </c>
      <c r="O1362" s="17"/>
    </row>
    <row r="1363" spans="1:15" x14ac:dyDescent="0.3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8"/>
      <c r="L1363" s="16"/>
      <c r="M1363" s="16"/>
      <c r="N1363" s="19" t="str">
        <f>IF(A1363="","",IF(K1363="",IFERROR(INDEX(Products!$S$3:$S$302,MATCH(A1363,Products!$A$3:$A$302,0)),"Product not found"),K1363-IF(L1363="Percentage",ROUND(K1363*N(M1363)/100,2),IF(L1363="Fixed amount",N(M1363),0))))</f>
        <v/>
      </c>
      <c r="O1363" s="17"/>
    </row>
    <row r="1364" spans="1:15" x14ac:dyDescent="0.3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8"/>
      <c r="L1364" s="16"/>
      <c r="M1364" s="16"/>
      <c r="N1364" s="19" t="str">
        <f>IF(A1364="","",IF(K1364="",IFERROR(INDEX(Products!$S$3:$S$302,MATCH(A1364,Products!$A$3:$A$302,0)),"Product not found"),K1364-IF(L1364="Percentage",ROUND(K1364*N(M1364)/100,2),IF(L1364="Fixed amount",N(M1364),0))))</f>
        <v/>
      </c>
      <c r="O1364" s="17"/>
    </row>
    <row r="1365" spans="1:15" x14ac:dyDescent="0.3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8"/>
      <c r="L1365" s="16"/>
      <c r="M1365" s="16"/>
      <c r="N1365" s="19" t="str">
        <f>IF(A1365="","",IF(K1365="",IFERROR(INDEX(Products!$S$3:$S$302,MATCH(A1365,Products!$A$3:$A$302,0)),"Product not found"),K1365-IF(L1365="Percentage",ROUND(K1365*N(M1365)/100,2),IF(L1365="Fixed amount",N(M1365),0))))</f>
        <v/>
      </c>
      <c r="O1365" s="17"/>
    </row>
    <row r="1366" spans="1:15" x14ac:dyDescent="0.3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8"/>
      <c r="L1366" s="16"/>
      <c r="M1366" s="16"/>
      <c r="N1366" s="19" t="str">
        <f>IF(A1366="","",IF(K1366="",IFERROR(INDEX(Products!$S$3:$S$302,MATCH(A1366,Products!$A$3:$A$302,0)),"Product not found"),K1366-IF(L1366="Percentage",ROUND(K1366*N(M1366)/100,2),IF(L1366="Fixed amount",N(M1366),0))))</f>
        <v/>
      </c>
      <c r="O1366" s="17"/>
    </row>
    <row r="1367" spans="1:15" x14ac:dyDescent="0.3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8"/>
      <c r="L1367" s="16"/>
      <c r="M1367" s="16"/>
      <c r="N1367" s="19" t="str">
        <f>IF(A1367="","",IF(K1367="",IFERROR(INDEX(Products!$S$3:$S$302,MATCH(A1367,Products!$A$3:$A$302,0)),"Product not found"),K1367-IF(L1367="Percentage",ROUND(K1367*N(M1367)/100,2),IF(L1367="Fixed amount",N(M1367),0))))</f>
        <v/>
      </c>
      <c r="O1367" s="17"/>
    </row>
    <row r="1368" spans="1:15" x14ac:dyDescent="0.3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8"/>
      <c r="L1368" s="16"/>
      <c r="M1368" s="16"/>
      <c r="N1368" s="19" t="str">
        <f>IF(A1368="","",IF(K1368="",IFERROR(INDEX(Products!$S$3:$S$302,MATCH(A1368,Products!$A$3:$A$302,0)),"Product not found"),K1368-IF(L1368="Percentage",ROUND(K1368*N(M1368)/100,2),IF(L1368="Fixed amount",N(M1368),0))))</f>
        <v/>
      </c>
      <c r="O1368" s="17"/>
    </row>
    <row r="1369" spans="1:15" x14ac:dyDescent="0.3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8"/>
      <c r="L1369" s="16"/>
      <c r="M1369" s="16"/>
      <c r="N1369" s="19" t="str">
        <f>IF(A1369="","",IF(K1369="",IFERROR(INDEX(Products!$S$3:$S$302,MATCH(A1369,Products!$A$3:$A$302,0)),"Product not found"),K1369-IF(L1369="Percentage",ROUND(K1369*N(M1369)/100,2),IF(L1369="Fixed amount",N(M1369),0))))</f>
        <v/>
      </c>
      <c r="O1369" s="17"/>
    </row>
    <row r="1370" spans="1:15" x14ac:dyDescent="0.3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8"/>
      <c r="L1370" s="16"/>
      <c r="M1370" s="16"/>
      <c r="N1370" s="19" t="str">
        <f>IF(A1370="","",IF(K1370="",IFERROR(INDEX(Products!$S$3:$S$302,MATCH(A1370,Products!$A$3:$A$302,0)),"Product not found"),K1370-IF(L1370="Percentage",ROUND(K1370*N(M1370)/100,2),IF(L1370="Fixed amount",N(M1370),0))))</f>
        <v/>
      </c>
      <c r="O1370" s="17"/>
    </row>
    <row r="1371" spans="1:15" x14ac:dyDescent="0.3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8"/>
      <c r="L1371" s="16"/>
      <c r="M1371" s="16"/>
      <c r="N1371" s="19" t="str">
        <f>IF(A1371="","",IF(K1371="",IFERROR(INDEX(Products!$S$3:$S$302,MATCH(A1371,Products!$A$3:$A$302,0)),"Product not found"),K1371-IF(L1371="Percentage",ROUND(K1371*N(M1371)/100,2),IF(L1371="Fixed amount",N(M1371),0))))</f>
        <v/>
      </c>
      <c r="O1371" s="17"/>
    </row>
    <row r="1372" spans="1:15" x14ac:dyDescent="0.3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8"/>
      <c r="L1372" s="16"/>
      <c r="M1372" s="16"/>
      <c r="N1372" s="19" t="str">
        <f>IF(A1372="","",IF(K1372="",IFERROR(INDEX(Products!$S$3:$S$302,MATCH(A1372,Products!$A$3:$A$302,0)),"Product not found"),K1372-IF(L1372="Percentage",ROUND(K1372*N(M1372)/100,2),IF(L1372="Fixed amount",N(M1372),0))))</f>
        <v/>
      </c>
      <c r="O1372" s="17"/>
    </row>
    <row r="1373" spans="1:15" x14ac:dyDescent="0.3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8"/>
      <c r="L1373" s="16"/>
      <c r="M1373" s="16"/>
      <c r="N1373" s="19" t="str">
        <f>IF(A1373="","",IF(K1373="",IFERROR(INDEX(Products!$S$3:$S$302,MATCH(A1373,Products!$A$3:$A$302,0)),"Product not found"),K1373-IF(L1373="Percentage",ROUND(K1373*N(M1373)/100,2),IF(L1373="Fixed amount",N(M1373),0))))</f>
        <v/>
      </c>
      <c r="O1373" s="17"/>
    </row>
    <row r="1374" spans="1:15" x14ac:dyDescent="0.3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8"/>
      <c r="L1374" s="16"/>
      <c r="M1374" s="16"/>
      <c r="N1374" s="19" t="str">
        <f>IF(A1374="","",IF(K1374="",IFERROR(INDEX(Products!$S$3:$S$302,MATCH(A1374,Products!$A$3:$A$302,0)),"Product not found"),K1374-IF(L1374="Percentage",ROUND(K1374*N(M1374)/100,2),IF(L1374="Fixed amount",N(M1374),0))))</f>
        <v/>
      </c>
      <c r="O1374" s="17"/>
    </row>
    <row r="1375" spans="1:15" x14ac:dyDescent="0.3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8"/>
      <c r="L1375" s="16"/>
      <c r="M1375" s="16"/>
      <c r="N1375" s="19" t="str">
        <f>IF(A1375="","",IF(K1375="",IFERROR(INDEX(Products!$S$3:$S$302,MATCH(A1375,Products!$A$3:$A$302,0)),"Product not found"),K1375-IF(L1375="Percentage",ROUND(K1375*N(M1375)/100,2),IF(L1375="Fixed amount",N(M1375),0))))</f>
        <v/>
      </c>
      <c r="O1375" s="17"/>
    </row>
    <row r="1376" spans="1:15" x14ac:dyDescent="0.3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8"/>
      <c r="L1376" s="16"/>
      <c r="M1376" s="16"/>
      <c r="N1376" s="19" t="str">
        <f>IF(A1376="","",IF(K1376="",IFERROR(INDEX(Products!$S$3:$S$302,MATCH(A1376,Products!$A$3:$A$302,0)),"Product not found"),K1376-IF(L1376="Percentage",ROUND(K1376*N(M1376)/100,2),IF(L1376="Fixed amount",N(M1376),0))))</f>
        <v/>
      </c>
      <c r="O1376" s="17"/>
    </row>
    <row r="1377" spans="1:15" x14ac:dyDescent="0.3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8"/>
      <c r="L1377" s="16"/>
      <c r="M1377" s="16"/>
      <c r="N1377" s="19" t="str">
        <f>IF(A1377="","",IF(K1377="",IFERROR(INDEX(Products!$S$3:$S$302,MATCH(A1377,Products!$A$3:$A$302,0)),"Product not found"),K1377-IF(L1377="Percentage",ROUND(K1377*N(M1377)/100,2),IF(L1377="Fixed amount",N(M1377),0))))</f>
        <v/>
      </c>
      <c r="O1377" s="17"/>
    </row>
    <row r="1378" spans="1:15" x14ac:dyDescent="0.3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8"/>
      <c r="L1378" s="16"/>
      <c r="M1378" s="16"/>
      <c r="N1378" s="19" t="str">
        <f>IF(A1378="","",IF(K1378="",IFERROR(INDEX(Products!$S$3:$S$302,MATCH(A1378,Products!$A$3:$A$302,0)),"Product not found"),K1378-IF(L1378="Percentage",ROUND(K1378*N(M1378)/100,2),IF(L1378="Fixed amount",N(M1378),0))))</f>
        <v/>
      </c>
      <c r="O1378" s="17"/>
    </row>
    <row r="1379" spans="1:15" x14ac:dyDescent="0.3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8"/>
      <c r="L1379" s="16"/>
      <c r="M1379" s="16"/>
      <c r="N1379" s="19" t="str">
        <f>IF(A1379="","",IF(K1379="",IFERROR(INDEX(Products!$S$3:$S$302,MATCH(A1379,Products!$A$3:$A$302,0)),"Product not found"),K1379-IF(L1379="Percentage",ROUND(K1379*N(M1379)/100,2),IF(L1379="Fixed amount",N(M1379),0))))</f>
        <v/>
      </c>
      <c r="O1379" s="17"/>
    </row>
    <row r="1380" spans="1:15" x14ac:dyDescent="0.3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8"/>
      <c r="L1380" s="16"/>
      <c r="M1380" s="16"/>
      <c r="N1380" s="19" t="str">
        <f>IF(A1380="","",IF(K1380="",IFERROR(INDEX(Products!$S$3:$S$302,MATCH(A1380,Products!$A$3:$A$302,0)),"Product not found"),K1380-IF(L1380="Percentage",ROUND(K1380*N(M1380)/100,2),IF(L1380="Fixed amount",N(M1380),0))))</f>
        <v/>
      </c>
      <c r="O1380" s="17"/>
    </row>
    <row r="1381" spans="1:15" x14ac:dyDescent="0.3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8"/>
      <c r="L1381" s="16"/>
      <c r="M1381" s="16"/>
      <c r="N1381" s="19" t="str">
        <f>IF(A1381="","",IF(K1381="",IFERROR(INDEX(Products!$S$3:$S$302,MATCH(A1381,Products!$A$3:$A$302,0)),"Product not found"),K1381-IF(L1381="Percentage",ROUND(K1381*N(M1381)/100,2),IF(L1381="Fixed amount",N(M1381),0))))</f>
        <v/>
      </c>
      <c r="O1381" s="17"/>
    </row>
    <row r="1382" spans="1:15" x14ac:dyDescent="0.3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8"/>
      <c r="L1382" s="16"/>
      <c r="M1382" s="16"/>
      <c r="N1382" s="19" t="str">
        <f>IF(A1382="","",IF(K1382="",IFERROR(INDEX(Products!$S$3:$S$302,MATCH(A1382,Products!$A$3:$A$302,0)),"Product not found"),K1382-IF(L1382="Percentage",ROUND(K1382*N(M1382)/100,2),IF(L1382="Fixed amount",N(M1382),0))))</f>
        <v/>
      </c>
      <c r="O1382" s="17"/>
    </row>
    <row r="1383" spans="1:15" x14ac:dyDescent="0.3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8"/>
      <c r="L1383" s="16"/>
      <c r="M1383" s="16"/>
      <c r="N1383" s="19" t="str">
        <f>IF(A1383="","",IF(K1383="",IFERROR(INDEX(Products!$S$3:$S$302,MATCH(A1383,Products!$A$3:$A$302,0)),"Product not found"),K1383-IF(L1383="Percentage",ROUND(K1383*N(M1383)/100,2),IF(L1383="Fixed amount",N(M1383),0))))</f>
        <v/>
      </c>
      <c r="O1383" s="17"/>
    </row>
    <row r="1384" spans="1:15" x14ac:dyDescent="0.3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8"/>
      <c r="L1384" s="16"/>
      <c r="M1384" s="16"/>
      <c r="N1384" s="19" t="str">
        <f>IF(A1384="","",IF(K1384="",IFERROR(INDEX(Products!$S$3:$S$302,MATCH(A1384,Products!$A$3:$A$302,0)),"Product not found"),K1384-IF(L1384="Percentage",ROUND(K1384*N(M1384)/100,2),IF(L1384="Fixed amount",N(M1384),0))))</f>
        <v/>
      </c>
      <c r="O1384" s="17"/>
    </row>
    <row r="1385" spans="1:15" x14ac:dyDescent="0.3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8"/>
      <c r="L1385" s="16"/>
      <c r="M1385" s="16"/>
      <c r="N1385" s="19" t="str">
        <f>IF(A1385="","",IF(K1385="",IFERROR(INDEX(Products!$S$3:$S$302,MATCH(A1385,Products!$A$3:$A$302,0)),"Product not found"),K1385-IF(L1385="Percentage",ROUND(K1385*N(M1385)/100,2),IF(L1385="Fixed amount",N(M1385),0))))</f>
        <v/>
      </c>
      <c r="O1385" s="17"/>
    </row>
    <row r="1386" spans="1:15" x14ac:dyDescent="0.3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8"/>
      <c r="L1386" s="16"/>
      <c r="M1386" s="16"/>
      <c r="N1386" s="19" t="str">
        <f>IF(A1386="","",IF(K1386="",IFERROR(INDEX(Products!$S$3:$S$302,MATCH(A1386,Products!$A$3:$A$302,0)),"Product not found"),K1386-IF(L1386="Percentage",ROUND(K1386*N(M1386)/100,2),IF(L1386="Fixed amount",N(M1386),0))))</f>
        <v/>
      </c>
      <c r="O1386" s="17"/>
    </row>
    <row r="1387" spans="1:15" x14ac:dyDescent="0.3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8"/>
      <c r="L1387" s="16"/>
      <c r="M1387" s="16"/>
      <c r="N1387" s="19" t="str">
        <f>IF(A1387="","",IF(K1387="",IFERROR(INDEX(Products!$S$3:$S$302,MATCH(A1387,Products!$A$3:$A$302,0)),"Product not found"),K1387-IF(L1387="Percentage",ROUND(K1387*N(M1387)/100,2),IF(L1387="Fixed amount",N(M1387),0))))</f>
        <v/>
      </c>
      <c r="O1387" s="17"/>
    </row>
    <row r="1388" spans="1:15" x14ac:dyDescent="0.3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8"/>
      <c r="L1388" s="16"/>
      <c r="M1388" s="16"/>
      <c r="N1388" s="19" t="str">
        <f>IF(A1388="","",IF(K1388="",IFERROR(INDEX(Products!$S$3:$S$302,MATCH(A1388,Products!$A$3:$A$302,0)),"Product not found"),K1388-IF(L1388="Percentage",ROUND(K1388*N(M1388)/100,2),IF(L1388="Fixed amount",N(M1388),0))))</f>
        <v/>
      </c>
      <c r="O1388" s="17"/>
    </row>
    <row r="1389" spans="1:15" x14ac:dyDescent="0.3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8"/>
      <c r="L1389" s="16"/>
      <c r="M1389" s="16"/>
      <c r="N1389" s="19" t="str">
        <f>IF(A1389="","",IF(K1389="",IFERROR(INDEX(Products!$S$3:$S$302,MATCH(A1389,Products!$A$3:$A$302,0)),"Product not found"),K1389-IF(L1389="Percentage",ROUND(K1389*N(M1389)/100,2),IF(L1389="Fixed amount",N(M1389),0))))</f>
        <v/>
      </c>
      <c r="O1389" s="17"/>
    </row>
    <row r="1390" spans="1:15" x14ac:dyDescent="0.3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8"/>
      <c r="L1390" s="16"/>
      <c r="M1390" s="16"/>
      <c r="N1390" s="19" t="str">
        <f>IF(A1390="","",IF(K1390="",IFERROR(INDEX(Products!$S$3:$S$302,MATCH(A1390,Products!$A$3:$A$302,0)),"Product not found"),K1390-IF(L1390="Percentage",ROUND(K1390*N(M1390)/100,2),IF(L1390="Fixed amount",N(M1390),0))))</f>
        <v/>
      </c>
      <c r="O1390" s="17"/>
    </row>
    <row r="1391" spans="1:15" x14ac:dyDescent="0.3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8"/>
      <c r="L1391" s="16"/>
      <c r="M1391" s="16"/>
      <c r="N1391" s="19" t="str">
        <f>IF(A1391="","",IF(K1391="",IFERROR(INDEX(Products!$S$3:$S$302,MATCH(A1391,Products!$A$3:$A$302,0)),"Product not found"),K1391-IF(L1391="Percentage",ROUND(K1391*N(M1391)/100,2),IF(L1391="Fixed amount",N(M1391),0))))</f>
        <v/>
      </c>
      <c r="O1391" s="17"/>
    </row>
    <row r="1392" spans="1:15" x14ac:dyDescent="0.3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8"/>
      <c r="L1392" s="16"/>
      <c r="M1392" s="16"/>
      <c r="N1392" s="19" t="str">
        <f>IF(A1392="","",IF(K1392="",IFERROR(INDEX(Products!$S$3:$S$302,MATCH(A1392,Products!$A$3:$A$302,0)),"Product not found"),K1392-IF(L1392="Percentage",ROUND(K1392*N(M1392)/100,2),IF(L1392="Fixed amount",N(M1392),0))))</f>
        <v/>
      </c>
      <c r="O1392" s="17"/>
    </row>
    <row r="1393" spans="1:15" x14ac:dyDescent="0.3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8"/>
      <c r="L1393" s="16"/>
      <c r="M1393" s="16"/>
      <c r="N1393" s="19" t="str">
        <f>IF(A1393="","",IF(K1393="",IFERROR(INDEX(Products!$S$3:$S$302,MATCH(A1393,Products!$A$3:$A$302,0)),"Product not found"),K1393-IF(L1393="Percentage",ROUND(K1393*N(M1393)/100,2),IF(L1393="Fixed amount",N(M1393),0))))</f>
        <v/>
      </c>
      <c r="O1393" s="17"/>
    </row>
    <row r="1394" spans="1:15" x14ac:dyDescent="0.3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8"/>
      <c r="L1394" s="16"/>
      <c r="M1394" s="16"/>
      <c r="N1394" s="19" t="str">
        <f>IF(A1394="","",IF(K1394="",IFERROR(INDEX(Products!$S$3:$S$302,MATCH(A1394,Products!$A$3:$A$302,0)),"Product not found"),K1394-IF(L1394="Percentage",ROUND(K1394*N(M1394)/100,2),IF(L1394="Fixed amount",N(M1394),0))))</f>
        <v/>
      </c>
      <c r="O1394" s="17"/>
    </row>
    <row r="1395" spans="1:15" x14ac:dyDescent="0.3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8"/>
      <c r="L1395" s="16"/>
      <c r="M1395" s="16"/>
      <c r="N1395" s="19" t="str">
        <f>IF(A1395="","",IF(K1395="",IFERROR(INDEX(Products!$S$3:$S$302,MATCH(A1395,Products!$A$3:$A$302,0)),"Product not found"),K1395-IF(L1395="Percentage",ROUND(K1395*N(M1395)/100,2),IF(L1395="Fixed amount",N(M1395),0))))</f>
        <v/>
      </c>
      <c r="O1395" s="17"/>
    </row>
    <row r="1396" spans="1:15" x14ac:dyDescent="0.3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8"/>
      <c r="L1396" s="16"/>
      <c r="M1396" s="16"/>
      <c r="N1396" s="19" t="str">
        <f>IF(A1396="","",IF(K1396="",IFERROR(INDEX(Products!$S$3:$S$302,MATCH(A1396,Products!$A$3:$A$302,0)),"Product not found"),K1396-IF(L1396="Percentage",ROUND(K1396*N(M1396)/100,2),IF(L1396="Fixed amount",N(M1396),0))))</f>
        <v/>
      </c>
      <c r="O1396" s="17"/>
    </row>
    <row r="1397" spans="1:15" x14ac:dyDescent="0.3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8"/>
      <c r="L1397" s="16"/>
      <c r="M1397" s="16"/>
      <c r="N1397" s="19" t="str">
        <f>IF(A1397="","",IF(K1397="",IFERROR(INDEX(Products!$S$3:$S$302,MATCH(A1397,Products!$A$3:$A$302,0)),"Product not found"),K1397-IF(L1397="Percentage",ROUND(K1397*N(M1397)/100,2),IF(L1397="Fixed amount",N(M1397),0))))</f>
        <v/>
      </c>
      <c r="O1397" s="17"/>
    </row>
    <row r="1398" spans="1:15" x14ac:dyDescent="0.3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8"/>
      <c r="L1398" s="16"/>
      <c r="M1398" s="16"/>
      <c r="N1398" s="19" t="str">
        <f>IF(A1398="","",IF(K1398="",IFERROR(INDEX(Products!$S$3:$S$302,MATCH(A1398,Products!$A$3:$A$302,0)),"Product not found"),K1398-IF(L1398="Percentage",ROUND(K1398*N(M1398)/100,2),IF(L1398="Fixed amount",N(M1398),0))))</f>
        <v/>
      </c>
      <c r="O1398" s="17"/>
    </row>
    <row r="1399" spans="1:15" x14ac:dyDescent="0.3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8"/>
      <c r="L1399" s="16"/>
      <c r="M1399" s="16"/>
      <c r="N1399" s="19" t="str">
        <f>IF(A1399="","",IF(K1399="",IFERROR(INDEX(Products!$S$3:$S$302,MATCH(A1399,Products!$A$3:$A$302,0)),"Product not found"),K1399-IF(L1399="Percentage",ROUND(K1399*N(M1399)/100,2),IF(L1399="Fixed amount",N(M1399),0))))</f>
        <v/>
      </c>
      <c r="O1399" s="17"/>
    </row>
    <row r="1400" spans="1:15" x14ac:dyDescent="0.3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8"/>
      <c r="L1400" s="16"/>
      <c r="M1400" s="16"/>
      <c r="N1400" s="19" t="str">
        <f>IF(A1400="","",IF(K1400="",IFERROR(INDEX(Products!$S$3:$S$302,MATCH(A1400,Products!$A$3:$A$302,0)),"Product not found"),K1400-IF(L1400="Percentage",ROUND(K1400*N(M1400)/100,2),IF(L1400="Fixed amount",N(M1400),0))))</f>
        <v/>
      </c>
      <c r="O1400" s="17"/>
    </row>
    <row r="1401" spans="1:15" x14ac:dyDescent="0.3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8"/>
      <c r="L1401" s="16"/>
      <c r="M1401" s="16"/>
      <c r="N1401" s="19" t="str">
        <f>IF(A1401="","",IF(K1401="",IFERROR(INDEX(Products!$S$3:$S$302,MATCH(A1401,Products!$A$3:$A$302,0)),"Product not found"),K1401-IF(L1401="Percentage",ROUND(K1401*N(M1401)/100,2),IF(L1401="Fixed amount",N(M1401),0))))</f>
        <v/>
      </c>
      <c r="O1401" s="17"/>
    </row>
    <row r="1402" spans="1:15" x14ac:dyDescent="0.3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8"/>
      <c r="L1402" s="16"/>
      <c r="M1402" s="16"/>
      <c r="N1402" s="19" t="str">
        <f>IF(A1402="","",IF(K1402="",IFERROR(INDEX(Products!$S$3:$S$302,MATCH(A1402,Products!$A$3:$A$302,0)),"Product not found"),K1402-IF(L1402="Percentage",ROUND(K1402*N(M1402)/100,2),IF(L1402="Fixed amount",N(M1402),0))))</f>
        <v/>
      </c>
      <c r="O1402" s="17"/>
    </row>
    <row r="1403" spans="1:15" x14ac:dyDescent="0.3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8"/>
      <c r="L1403" s="16"/>
      <c r="M1403" s="16"/>
      <c r="N1403" s="19" t="str">
        <f>IF(A1403="","",IF(K1403="",IFERROR(INDEX(Products!$S$3:$S$302,MATCH(A1403,Products!$A$3:$A$302,0)),"Product not found"),K1403-IF(L1403="Percentage",ROUND(K1403*N(M1403)/100,2),IF(L1403="Fixed amount",N(M1403),0))))</f>
        <v/>
      </c>
      <c r="O1403" s="17"/>
    </row>
    <row r="1404" spans="1:15" x14ac:dyDescent="0.3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8"/>
      <c r="L1404" s="16"/>
      <c r="M1404" s="16"/>
      <c r="N1404" s="19" t="str">
        <f>IF(A1404="","",IF(K1404="",IFERROR(INDEX(Products!$S$3:$S$302,MATCH(A1404,Products!$A$3:$A$302,0)),"Product not found"),K1404-IF(L1404="Percentage",ROUND(K1404*N(M1404)/100,2),IF(L1404="Fixed amount",N(M1404),0))))</f>
        <v/>
      </c>
      <c r="O1404" s="17"/>
    </row>
    <row r="1405" spans="1:15" x14ac:dyDescent="0.3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8"/>
      <c r="L1405" s="16"/>
      <c r="M1405" s="16"/>
      <c r="N1405" s="19" t="str">
        <f>IF(A1405="","",IF(K1405="",IFERROR(INDEX(Products!$S$3:$S$302,MATCH(A1405,Products!$A$3:$A$302,0)),"Product not found"),K1405-IF(L1405="Percentage",ROUND(K1405*N(M1405)/100,2),IF(L1405="Fixed amount",N(M1405),0))))</f>
        <v/>
      </c>
      <c r="O1405" s="17"/>
    </row>
    <row r="1406" spans="1:15" x14ac:dyDescent="0.3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8"/>
      <c r="L1406" s="16"/>
      <c r="M1406" s="16"/>
      <c r="N1406" s="19" t="str">
        <f>IF(A1406="","",IF(K1406="",IFERROR(INDEX(Products!$S$3:$S$302,MATCH(A1406,Products!$A$3:$A$302,0)),"Product not found"),K1406-IF(L1406="Percentage",ROUND(K1406*N(M1406)/100,2),IF(L1406="Fixed amount",N(M1406),0))))</f>
        <v/>
      </c>
      <c r="O1406" s="17"/>
    </row>
    <row r="1407" spans="1:15" x14ac:dyDescent="0.3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8"/>
      <c r="L1407" s="16"/>
      <c r="M1407" s="16"/>
      <c r="N1407" s="19" t="str">
        <f>IF(A1407="","",IF(K1407="",IFERROR(INDEX(Products!$S$3:$S$302,MATCH(A1407,Products!$A$3:$A$302,0)),"Product not found"),K1407-IF(L1407="Percentage",ROUND(K1407*N(M1407)/100,2),IF(L1407="Fixed amount",N(M1407),0))))</f>
        <v/>
      </c>
      <c r="O1407" s="17"/>
    </row>
    <row r="1408" spans="1:15" x14ac:dyDescent="0.3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8"/>
      <c r="L1408" s="16"/>
      <c r="M1408" s="16"/>
      <c r="N1408" s="19" t="str">
        <f>IF(A1408="","",IF(K1408="",IFERROR(INDEX(Products!$S$3:$S$302,MATCH(A1408,Products!$A$3:$A$302,0)),"Product not found"),K1408-IF(L1408="Percentage",ROUND(K1408*N(M1408)/100,2),IF(L1408="Fixed amount",N(M1408),0))))</f>
        <v/>
      </c>
      <c r="O1408" s="17"/>
    </row>
    <row r="1409" spans="1:15" x14ac:dyDescent="0.3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8"/>
      <c r="L1409" s="16"/>
      <c r="M1409" s="16"/>
      <c r="N1409" s="19" t="str">
        <f>IF(A1409="","",IF(K1409="",IFERROR(INDEX(Products!$S$3:$S$302,MATCH(A1409,Products!$A$3:$A$302,0)),"Product not found"),K1409-IF(L1409="Percentage",ROUND(K1409*N(M1409)/100,2),IF(L1409="Fixed amount",N(M1409),0))))</f>
        <v/>
      </c>
      <c r="O1409" s="17"/>
    </row>
    <row r="1410" spans="1:15" x14ac:dyDescent="0.3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8"/>
      <c r="L1410" s="16"/>
      <c r="M1410" s="16"/>
      <c r="N1410" s="19" t="str">
        <f>IF(A1410="","",IF(K1410="",IFERROR(INDEX(Products!$S$3:$S$302,MATCH(A1410,Products!$A$3:$A$302,0)),"Product not found"),K1410-IF(L1410="Percentage",ROUND(K1410*N(M1410)/100,2),IF(L1410="Fixed amount",N(M1410),0))))</f>
        <v/>
      </c>
      <c r="O1410" s="17"/>
    </row>
    <row r="1411" spans="1:15" x14ac:dyDescent="0.3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8"/>
      <c r="L1411" s="16"/>
      <c r="M1411" s="16"/>
      <c r="N1411" s="19" t="str">
        <f>IF(A1411="","",IF(K1411="",IFERROR(INDEX(Products!$S$3:$S$302,MATCH(A1411,Products!$A$3:$A$302,0)),"Product not found"),K1411-IF(L1411="Percentage",ROUND(K1411*N(M1411)/100,2),IF(L1411="Fixed amount",N(M1411),0))))</f>
        <v/>
      </c>
      <c r="O1411" s="17"/>
    </row>
    <row r="1412" spans="1:15" x14ac:dyDescent="0.3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8"/>
      <c r="L1412" s="16"/>
      <c r="M1412" s="16"/>
      <c r="N1412" s="19" t="str">
        <f>IF(A1412="","",IF(K1412="",IFERROR(INDEX(Products!$S$3:$S$302,MATCH(A1412,Products!$A$3:$A$302,0)),"Product not found"),K1412-IF(L1412="Percentage",ROUND(K1412*N(M1412)/100,2),IF(L1412="Fixed amount",N(M1412),0))))</f>
        <v/>
      </c>
      <c r="O1412" s="17"/>
    </row>
    <row r="1413" spans="1:15" x14ac:dyDescent="0.3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8"/>
      <c r="L1413" s="16"/>
      <c r="M1413" s="16"/>
      <c r="N1413" s="19" t="str">
        <f>IF(A1413="","",IF(K1413="",IFERROR(INDEX(Products!$S$3:$S$302,MATCH(A1413,Products!$A$3:$A$302,0)),"Product not found"),K1413-IF(L1413="Percentage",ROUND(K1413*N(M1413)/100,2),IF(L1413="Fixed amount",N(M1413),0))))</f>
        <v/>
      </c>
      <c r="O1413" s="17"/>
    </row>
    <row r="1414" spans="1:15" x14ac:dyDescent="0.3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8"/>
      <c r="L1414" s="16"/>
      <c r="M1414" s="16"/>
      <c r="N1414" s="19" t="str">
        <f>IF(A1414="","",IF(K1414="",IFERROR(INDEX(Products!$S$3:$S$302,MATCH(A1414,Products!$A$3:$A$302,0)),"Product not found"),K1414-IF(L1414="Percentage",ROUND(K1414*N(M1414)/100,2),IF(L1414="Fixed amount",N(M1414),0))))</f>
        <v/>
      </c>
      <c r="O1414" s="17"/>
    </row>
    <row r="1415" spans="1:15" x14ac:dyDescent="0.3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8"/>
      <c r="L1415" s="16"/>
      <c r="M1415" s="16"/>
      <c r="N1415" s="19" t="str">
        <f>IF(A1415="","",IF(K1415="",IFERROR(INDEX(Products!$S$3:$S$302,MATCH(A1415,Products!$A$3:$A$302,0)),"Product not found"),K1415-IF(L1415="Percentage",ROUND(K1415*N(M1415)/100,2),IF(L1415="Fixed amount",N(M1415),0))))</f>
        <v/>
      </c>
      <c r="O1415" s="17"/>
    </row>
    <row r="1416" spans="1:15" x14ac:dyDescent="0.3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8"/>
      <c r="L1416" s="16"/>
      <c r="M1416" s="16"/>
      <c r="N1416" s="19" t="str">
        <f>IF(A1416="","",IF(K1416="",IFERROR(INDEX(Products!$S$3:$S$302,MATCH(A1416,Products!$A$3:$A$302,0)),"Product not found"),K1416-IF(L1416="Percentage",ROUND(K1416*N(M1416)/100,2),IF(L1416="Fixed amount",N(M1416),0))))</f>
        <v/>
      </c>
      <c r="O1416" s="17"/>
    </row>
    <row r="1417" spans="1:15" x14ac:dyDescent="0.3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8"/>
      <c r="L1417" s="16"/>
      <c r="M1417" s="16"/>
      <c r="N1417" s="19" t="str">
        <f>IF(A1417="","",IF(K1417="",IFERROR(INDEX(Products!$S$3:$S$302,MATCH(A1417,Products!$A$3:$A$302,0)),"Product not found"),K1417-IF(L1417="Percentage",ROUND(K1417*N(M1417)/100,2),IF(L1417="Fixed amount",N(M1417),0))))</f>
        <v/>
      </c>
      <c r="O1417" s="17"/>
    </row>
    <row r="1418" spans="1:15" x14ac:dyDescent="0.3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8"/>
      <c r="L1418" s="16"/>
      <c r="M1418" s="16"/>
      <c r="N1418" s="19" t="str">
        <f>IF(A1418="","",IF(K1418="",IFERROR(INDEX(Products!$S$3:$S$302,MATCH(A1418,Products!$A$3:$A$302,0)),"Product not found"),K1418-IF(L1418="Percentage",ROUND(K1418*N(M1418)/100,2),IF(L1418="Fixed amount",N(M1418),0))))</f>
        <v/>
      </c>
      <c r="O1418" s="17"/>
    </row>
    <row r="1419" spans="1:15" x14ac:dyDescent="0.3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8"/>
      <c r="L1419" s="16"/>
      <c r="M1419" s="16"/>
      <c r="N1419" s="19" t="str">
        <f>IF(A1419="","",IF(K1419="",IFERROR(INDEX(Products!$S$3:$S$302,MATCH(A1419,Products!$A$3:$A$302,0)),"Product not found"),K1419-IF(L1419="Percentage",ROUND(K1419*N(M1419)/100,2),IF(L1419="Fixed amount",N(M1419),0))))</f>
        <v/>
      </c>
      <c r="O1419" s="17"/>
    </row>
    <row r="1420" spans="1:15" x14ac:dyDescent="0.3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8"/>
      <c r="L1420" s="16"/>
      <c r="M1420" s="16"/>
      <c r="N1420" s="19" t="str">
        <f>IF(A1420="","",IF(K1420="",IFERROR(INDEX(Products!$S$3:$S$302,MATCH(A1420,Products!$A$3:$A$302,0)),"Product not found"),K1420-IF(L1420="Percentage",ROUND(K1420*N(M1420)/100,2),IF(L1420="Fixed amount",N(M1420),0))))</f>
        <v/>
      </c>
      <c r="O1420" s="17"/>
    </row>
    <row r="1421" spans="1:15" x14ac:dyDescent="0.3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8"/>
      <c r="L1421" s="16"/>
      <c r="M1421" s="16"/>
      <c r="N1421" s="19" t="str">
        <f>IF(A1421="","",IF(K1421="",IFERROR(INDEX(Products!$S$3:$S$302,MATCH(A1421,Products!$A$3:$A$302,0)),"Product not found"),K1421-IF(L1421="Percentage",ROUND(K1421*N(M1421)/100,2),IF(L1421="Fixed amount",N(M1421),0))))</f>
        <v/>
      </c>
      <c r="O1421" s="17"/>
    </row>
    <row r="1422" spans="1:15" x14ac:dyDescent="0.3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8"/>
      <c r="L1422" s="16"/>
      <c r="M1422" s="16"/>
      <c r="N1422" s="19" t="str">
        <f>IF(A1422="","",IF(K1422="",IFERROR(INDEX(Products!$S$3:$S$302,MATCH(A1422,Products!$A$3:$A$302,0)),"Product not found"),K1422-IF(L1422="Percentage",ROUND(K1422*N(M1422)/100,2),IF(L1422="Fixed amount",N(M1422),0))))</f>
        <v/>
      </c>
      <c r="O1422" s="17"/>
    </row>
    <row r="1423" spans="1:15" x14ac:dyDescent="0.3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8"/>
      <c r="L1423" s="16"/>
      <c r="M1423" s="16"/>
      <c r="N1423" s="19" t="str">
        <f>IF(A1423="","",IF(K1423="",IFERROR(INDEX(Products!$S$3:$S$302,MATCH(A1423,Products!$A$3:$A$302,0)),"Product not found"),K1423-IF(L1423="Percentage",ROUND(K1423*N(M1423)/100,2),IF(L1423="Fixed amount",N(M1423),0))))</f>
        <v/>
      </c>
      <c r="O1423" s="17"/>
    </row>
    <row r="1424" spans="1:15" x14ac:dyDescent="0.3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8"/>
      <c r="L1424" s="16"/>
      <c r="M1424" s="16"/>
      <c r="N1424" s="19" t="str">
        <f>IF(A1424="","",IF(K1424="",IFERROR(INDEX(Products!$S$3:$S$302,MATCH(A1424,Products!$A$3:$A$302,0)),"Product not found"),K1424-IF(L1424="Percentage",ROUND(K1424*N(M1424)/100,2),IF(L1424="Fixed amount",N(M1424),0))))</f>
        <v/>
      </c>
      <c r="O1424" s="17"/>
    </row>
    <row r="1425" spans="1:15" x14ac:dyDescent="0.3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8"/>
      <c r="L1425" s="16"/>
      <c r="M1425" s="16"/>
      <c r="N1425" s="19" t="str">
        <f>IF(A1425="","",IF(K1425="",IFERROR(INDEX(Products!$S$3:$S$302,MATCH(A1425,Products!$A$3:$A$302,0)),"Product not found"),K1425-IF(L1425="Percentage",ROUND(K1425*N(M1425)/100,2),IF(L1425="Fixed amount",N(M1425),0))))</f>
        <v/>
      </c>
      <c r="O1425" s="17"/>
    </row>
    <row r="1426" spans="1:15" x14ac:dyDescent="0.3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8"/>
      <c r="L1426" s="16"/>
      <c r="M1426" s="16"/>
      <c r="N1426" s="19" t="str">
        <f>IF(A1426="","",IF(K1426="",IFERROR(INDEX(Products!$S$3:$S$302,MATCH(A1426,Products!$A$3:$A$302,0)),"Product not found"),K1426-IF(L1426="Percentage",ROUND(K1426*N(M1426)/100,2),IF(L1426="Fixed amount",N(M1426),0))))</f>
        <v/>
      </c>
      <c r="O1426" s="17"/>
    </row>
    <row r="1427" spans="1:15" x14ac:dyDescent="0.3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8"/>
      <c r="L1427" s="16"/>
      <c r="M1427" s="16"/>
      <c r="N1427" s="19" t="str">
        <f>IF(A1427="","",IF(K1427="",IFERROR(INDEX(Products!$S$3:$S$302,MATCH(A1427,Products!$A$3:$A$302,0)),"Product not found"),K1427-IF(L1427="Percentage",ROUND(K1427*N(M1427)/100,2),IF(L1427="Fixed amount",N(M1427),0))))</f>
        <v/>
      </c>
      <c r="O1427" s="17"/>
    </row>
    <row r="1428" spans="1:15" x14ac:dyDescent="0.3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8"/>
      <c r="L1428" s="16"/>
      <c r="M1428" s="16"/>
      <c r="N1428" s="19" t="str">
        <f>IF(A1428="","",IF(K1428="",IFERROR(INDEX(Products!$S$3:$S$302,MATCH(A1428,Products!$A$3:$A$302,0)),"Product not found"),K1428-IF(L1428="Percentage",ROUND(K1428*N(M1428)/100,2),IF(L1428="Fixed amount",N(M1428),0))))</f>
        <v/>
      </c>
      <c r="O1428" s="17"/>
    </row>
    <row r="1429" spans="1:15" x14ac:dyDescent="0.3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8"/>
      <c r="L1429" s="16"/>
      <c r="M1429" s="16"/>
      <c r="N1429" s="19" t="str">
        <f>IF(A1429="","",IF(K1429="",IFERROR(INDEX(Products!$S$3:$S$302,MATCH(A1429,Products!$A$3:$A$302,0)),"Product not found"),K1429-IF(L1429="Percentage",ROUND(K1429*N(M1429)/100,2),IF(L1429="Fixed amount",N(M1429),0))))</f>
        <v/>
      </c>
      <c r="O1429" s="17"/>
    </row>
    <row r="1430" spans="1:15" x14ac:dyDescent="0.3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8"/>
      <c r="L1430" s="16"/>
      <c r="M1430" s="16"/>
      <c r="N1430" s="19" t="str">
        <f>IF(A1430="","",IF(K1430="",IFERROR(INDEX(Products!$S$3:$S$302,MATCH(A1430,Products!$A$3:$A$302,0)),"Product not found"),K1430-IF(L1430="Percentage",ROUND(K1430*N(M1430)/100,2),IF(L1430="Fixed amount",N(M1430),0))))</f>
        <v/>
      </c>
      <c r="O1430" s="17"/>
    </row>
    <row r="1431" spans="1:15" x14ac:dyDescent="0.3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8"/>
      <c r="L1431" s="16"/>
      <c r="M1431" s="16"/>
      <c r="N1431" s="19" t="str">
        <f>IF(A1431="","",IF(K1431="",IFERROR(INDEX(Products!$S$3:$S$302,MATCH(A1431,Products!$A$3:$A$302,0)),"Product not found"),K1431-IF(L1431="Percentage",ROUND(K1431*N(M1431)/100,2),IF(L1431="Fixed amount",N(M1431),0))))</f>
        <v/>
      </c>
      <c r="O1431" s="17"/>
    </row>
    <row r="1432" spans="1:15" x14ac:dyDescent="0.3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8"/>
      <c r="L1432" s="16"/>
      <c r="M1432" s="16"/>
      <c r="N1432" s="19" t="str">
        <f>IF(A1432="","",IF(K1432="",IFERROR(INDEX(Products!$S$3:$S$302,MATCH(A1432,Products!$A$3:$A$302,0)),"Product not found"),K1432-IF(L1432="Percentage",ROUND(K1432*N(M1432)/100,2),IF(L1432="Fixed amount",N(M1432),0))))</f>
        <v/>
      </c>
      <c r="O1432" s="17"/>
    </row>
    <row r="1433" spans="1:15" x14ac:dyDescent="0.3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8"/>
      <c r="L1433" s="16"/>
      <c r="M1433" s="16"/>
      <c r="N1433" s="19" t="str">
        <f>IF(A1433="","",IF(K1433="",IFERROR(INDEX(Products!$S$3:$S$302,MATCH(A1433,Products!$A$3:$A$302,0)),"Product not found"),K1433-IF(L1433="Percentage",ROUND(K1433*N(M1433)/100,2),IF(L1433="Fixed amount",N(M1433),0))))</f>
        <v/>
      </c>
      <c r="O1433" s="17"/>
    </row>
    <row r="1434" spans="1:15" x14ac:dyDescent="0.3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8"/>
      <c r="L1434" s="16"/>
      <c r="M1434" s="16"/>
      <c r="N1434" s="19" t="str">
        <f>IF(A1434="","",IF(K1434="",IFERROR(INDEX(Products!$S$3:$S$302,MATCH(A1434,Products!$A$3:$A$302,0)),"Product not found"),K1434-IF(L1434="Percentage",ROUND(K1434*N(M1434)/100,2),IF(L1434="Fixed amount",N(M1434),0))))</f>
        <v/>
      </c>
      <c r="O1434" s="17"/>
    </row>
    <row r="1435" spans="1:15" x14ac:dyDescent="0.3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8"/>
      <c r="L1435" s="16"/>
      <c r="M1435" s="16"/>
      <c r="N1435" s="19" t="str">
        <f>IF(A1435="","",IF(K1435="",IFERROR(INDEX(Products!$S$3:$S$302,MATCH(A1435,Products!$A$3:$A$302,0)),"Product not found"),K1435-IF(L1435="Percentage",ROUND(K1435*N(M1435)/100,2),IF(L1435="Fixed amount",N(M1435),0))))</f>
        <v/>
      </c>
      <c r="O1435" s="17"/>
    </row>
    <row r="1436" spans="1:15" x14ac:dyDescent="0.3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8"/>
      <c r="L1436" s="16"/>
      <c r="M1436" s="16"/>
      <c r="N1436" s="19" t="str">
        <f>IF(A1436="","",IF(K1436="",IFERROR(INDEX(Products!$S$3:$S$302,MATCH(A1436,Products!$A$3:$A$302,0)),"Product not found"),K1436-IF(L1436="Percentage",ROUND(K1436*N(M1436)/100,2),IF(L1436="Fixed amount",N(M1436),0))))</f>
        <v/>
      </c>
      <c r="O1436" s="17"/>
    </row>
    <row r="1437" spans="1:15" x14ac:dyDescent="0.3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8"/>
      <c r="L1437" s="16"/>
      <c r="M1437" s="16"/>
      <c r="N1437" s="19" t="str">
        <f>IF(A1437="","",IF(K1437="",IFERROR(INDEX(Products!$S$3:$S$302,MATCH(A1437,Products!$A$3:$A$302,0)),"Product not found"),K1437-IF(L1437="Percentage",ROUND(K1437*N(M1437)/100,2),IF(L1437="Fixed amount",N(M1437),0))))</f>
        <v/>
      </c>
      <c r="O1437" s="17"/>
    </row>
    <row r="1438" spans="1:15" x14ac:dyDescent="0.3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8"/>
      <c r="L1438" s="16"/>
      <c r="M1438" s="16"/>
      <c r="N1438" s="19" t="str">
        <f>IF(A1438="","",IF(K1438="",IFERROR(INDEX(Products!$S$3:$S$302,MATCH(A1438,Products!$A$3:$A$302,0)),"Product not found"),K1438-IF(L1438="Percentage",ROUND(K1438*N(M1438)/100,2),IF(L1438="Fixed amount",N(M1438),0))))</f>
        <v/>
      </c>
      <c r="O1438" s="17"/>
    </row>
    <row r="1439" spans="1:15" x14ac:dyDescent="0.3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8"/>
      <c r="L1439" s="16"/>
      <c r="M1439" s="16"/>
      <c r="N1439" s="19" t="str">
        <f>IF(A1439="","",IF(K1439="",IFERROR(INDEX(Products!$S$3:$S$302,MATCH(A1439,Products!$A$3:$A$302,0)),"Product not found"),K1439-IF(L1439="Percentage",ROUND(K1439*N(M1439)/100,2),IF(L1439="Fixed amount",N(M1439),0))))</f>
        <v/>
      </c>
      <c r="O1439" s="17"/>
    </row>
    <row r="1440" spans="1:15" x14ac:dyDescent="0.3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8"/>
      <c r="L1440" s="16"/>
      <c r="M1440" s="16"/>
      <c r="N1440" s="19" t="str">
        <f>IF(A1440="","",IF(K1440="",IFERROR(INDEX(Products!$S$3:$S$302,MATCH(A1440,Products!$A$3:$A$302,0)),"Product not found"),K1440-IF(L1440="Percentage",ROUND(K1440*N(M1440)/100,2),IF(L1440="Fixed amount",N(M1440),0))))</f>
        <v/>
      </c>
      <c r="O1440" s="17"/>
    </row>
    <row r="1441" spans="1:15" x14ac:dyDescent="0.3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8"/>
      <c r="L1441" s="16"/>
      <c r="M1441" s="16"/>
      <c r="N1441" s="19" t="str">
        <f>IF(A1441="","",IF(K1441="",IFERROR(INDEX(Products!$S$3:$S$302,MATCH(A1441,Products!$A$3:$A$302,0)),"Product not found"),K1441-IF(L1441="Percentage",ROUND(K1441*N(M1441)/100,2),IF(L1441="Fixed amount",N(M1441),0))))</f>
        <v/>
      </c>
      <c r="O1441" s="17"/>
    </row>
    <row r="1442" spans="1:15" x14ac:dyDescent="0.3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8"/>
      <c r="L1442" s="16"/>
      <c r="M1442" s="16"/>
      <c r="N1442" s="19" t="str">
        <f>IF(A1442="","",IF(K1442="",IFERROR(INDEX(Products!$S$3:$S$302,MATCH(A1442,Products!$A$3:$A$302,0)),"Product not found"),K1442-IF(L1442="Percentage",ROUND(K1442*N(M1442)/100,2),IF(L1442="Fixed amount",N(M1442),0))))</f>
        <v/>
      </c>
      <c r="O1442" s="17"/>
    </row>
    <row r="1443" spans="1:15" x14ac:dyDescent="0.3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8"/>
      <c r="L1443" s="16"/>
      <c r="M1443" s="16"/>
      <c r="N1443" s="19" t="str">
        <f>IF(A1443="","",IF(K1443="",IFERROR(INDEX(Products!$S$3:$S$302,MATCH(A1443,Products!$A$3:$A$302,0)),"Product not found"),K1443-IF(L1443="Percentage",ROUND(K1443*N(M1443)/100,2),IF(L1443="Fixed amount",N(M1443),0))))</f>
        <v/>
      </c>
      <c r="O1443" s="17"/>
    </row>
    <row r="1444" spans="1:15" x14ac:dyDescent="0.3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8"/>
      <c r="L1444" s="16"/>
      <c r="M1444" s="16"/>
      <c r="N1444" s="19" t="str">
        <f>IF(A1444="","",IF(K1444="",IFERROR(INDEX(Products!$S$3:$S$302,MATCH(A1444,Products!$A$3:$A$302,0)),"Product not found"),K1444-IF(L1444="Percentage",ROUND(K1444*N(M1444)/100,2),IF(L1444="Fixed amount",N(M1444),0))))</f>
        <v/>
      </c>
      <c r="O1444" s="17"/>
    </row>
    <row r="1445" spans="1:15" x14ac:dyDescent="0.3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8"/>
      <c r="L1445" s="16"/>
      <c r="M1445" s="16"/>
      <c r="N1445" s="19" t="str">
        <f>IF(A1445="","",IF(K1445="",IFERROR(INDEX(Products!$S$3:$S$302,MATCH(A1445,Products!$A$3:$A$302,0)),"Product not found"),K1445-IF(L1445="Percentage",ROUND(K1445*N(M1445)/100,2),IF(L1445="Fixed amount",N(M1445),0))))</f>
        <v/>
      </c>
      <c r="O1445" s="17"/>
    </row>
    <row r="1446" spans="1:15" x14ac:dyDescent="0.3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8"/>
      <c r="L1446" s="16"/>
      <c r="M1446" s="16"/>
      <c r="N1446" s="19" t="str">
        <f>IF(A1446="","",IF(K1446="",IFERROR(INDEX(Products!$S$3:$S$302,MATCH(A1446,Products!$A$3:$A$302,0)),"Product not found"),K1446-IF(L1446="Percentage",ROUND(K1446*N(M1446)/100,2),IF(L1446="Fixed amount",N(M1446),0))))</f>
        <v/>
      </c>
      <c r="O1446" s="17"/>
    </row>
    <row r="1447" spans="1:15" x14ac:dyDescent="0.3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8"/>
      <c r="L1447" s="16"/>
      <c r="M1447" s="16"/>
      <c r="N1447" s="19" t="str">
        <f>IF(A1447="","",IF(K1447="",IFERROR(INDEX(Products!$S$3:$S$302,MATCH(A1447,Products!$A$3:$A$302,0)),"Product not found"),K1447-IF(L1447="Percentage",ROUND(K1447*N(M1447)/100,2),IF(L1447="Fixed amount",N(M1447),0))))</f>
        <v/>
      </c>
      <c r="O1447" s="17"/>
    </row>
    <row r="1448" spans="1:15" x14ac:dyDescent="0.3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8"/>
      <c r="L1448" s="16"/>
      <c r="M1448" s="16"/>
      <c r="N1448" s="19" t="str">
        <f>IF(A1448="","",IF(K1448="",IFERROR(INDEX(Products!$S$3:$S$302,MATCH(A1448,Products!$A$3:$A$302,0)),"Product not found"),K1448-IF(L1448="Percentage",ROUND(K1448*N(M1448)/100,2),IF(L1448="Fixed amount",N(M1448),0))))</f>
        <v/>
      </c>
      <c r="O1448" s="17"/>
    </row>
    <row r="1449" spans="1:15" x14ac:dyDescent="0.3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8"/>
      <c r="L1449" s="16"/>
      <c r="M1449" s="16"/>
      <c r="N1449" s="19" t="str">
        <f>IF(A1449="","",IF(K1449="",IFERROR(INDEX(Products!$S$3:$S$302,MATCH(A1449,Products!$A$3:$A$302,0)),"Product not found"),K1449-IF(L1449="Percentage",ROUND(K1449*N(M1449)/100,2),IF(L1449="Fixed amount",N(M1449),0))))</f>
        <v/>
      </c>
      <c r="O1449" s="17"/>
    </row>
    <row r="1450" spans="1:15" x14ac:dyDescent="0.3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8"/>
      <c r="L1450" s="16"/>
      <c r="M1450" s="16"/>
      <c r="N1450" s="19" t="str">
        <f>IF(A1450="","",IF(K1450="",IFERROR(INDEX(Products!$S$3:$S$302,MATCH(A1450,Products!$A$3:$A$302,0)),"Product not found"),K1450-IF(L1450="Percentage",ROUND(K1450*N(M1450)/100,2),IF(L1450="Fixed amount",N(M1450),0))))</f>
        <v/>
      </c>
      <c r="O1450" s="17"/>
    </row>
    <row r="1451" spans="1:15" x14ac:dyDescent="0.3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8"/>
      <c r="L1451" s="16"/>
      <c r="M1451" s="16"/>
      <c r="N1451" s="19" t="str">
        <f>IF(A1451="","",IF(K1451="",IFERROR(INDEX(Products!$S$3:$S$302,MATCH(A1451,Products!$A$3:$A$302,0)),"Product not found"),K1451-IF(L1451="Percentage",ROUND(K1451*N(M1451)/100,2),IF(L1451="Fixed amount",N(M1451),0))))</f>
        <v/>
      </c>
      <c r="O1451" s="17"/>
    </row>
    <row r="1452" spans="1:15" x14ac:dyDescent="0.3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8"/>
      <c r="L1452" s="16"/>
      <c r="M1452" s="16"/>
      <c r="N1452" s="19" t="str">
        <f>IF(A1452="","",IF(K1452="",IFERROR(INDEX(Products!$S$3:$S$302,MATCH(A1452,Products!$A$3:$A$302,0)),"Product not found"),K1452-IF(L1452="Percentage",ROUND(K1452*N(M1452)/100,2),IF(L1452="Fixed amount",N(M1452),0))))</f>
        <v/>
      </c>
      <c r="O1452" s="17"/>
    </row>
    <row r="1453" spans="1:15" x14ac:dyDescent="0.3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8"/>
      <c r="L1453" s="16"/>
      <c r="M1453" s="16"/>
      <c r="N1453" s="19" t="str">
        <f>IF(A1453="","",IF(K1453="",IFERROR(INDEX(Products!$S$3:$S$302,MATCH(A1453,Products!$A$3:$A$302,0)),"Product not found"),K1453-IF(L1453="Percentage",ROUND(K1453*N(M1453)/100,2),IF(L1453="Fixed amount",N(M1453),0))))</f>
        <v/>
      </c>
      <c r="O1453" s="17"/>
    </row>
    <row r="1454" spans="1:15" x14ac:dyDescent="0.3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8"/>
      <c r="L1454" s="16"/>
      <c r="M1454" s="16"/>
      <c r="N1454" s="19" t="str">
        <f>IF(A1454="","",IF(K1454="",IFERROR(INDEX(Products!$S$3:$S$302,MATCH(A1454,Products!$A$3:$A$302,0)),"Product not found"),K1454-IF(L1454="Percentage",ROUND(K1454*N(M1454)/100,2),IF(L1454="Fixed amount",N(M1454),0))))</f>
        <v/>
      </c>
      <c r="O1454" s="17"/>
    </row>
    <row r="1455" spans="1:15" x14ac:dyDescent="0.3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8"/>
      <c r="L1455" s="16"/>
      <c r="M1455" s="16"/>
      <c r="N1455" s="19" t="str">
        <f>IF(A1455="","",IF(K1455="",IFERROR(INDEX(Products!$S$3:$S$302,MATCH(A1455,Products!$A$3:$A$302,0)),"Product not found"),K1455-IF(L1455="Percentage",ROUND(K1455*N(M1455)/100,2),IF(L1455="Fixed amount",N(M1455),0))))</f>
        <v/>
      </c>
      <c r="O1455" s="17"/>
    </row>
    <row r="1456" spans="1:15" x14ac:dyDescent="0.3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8"/>
      <c r="L1456" s="16"/>
      <c r="M1456" s="16"/>
      <c r="N1456" s="19" t="str">
        <f>IF(A1456="","",IF(K1456="",IFERROR(INDEX(Products!$S$3:$S$302,MATCH(A1456,Products!$A$3:$A$302,0)),"Product not found"),K1456-IF(L1456="Percentage",ROUND(K1456*N(M1456)/100,2),IF(L1456="Fixed amount",N(M1456),0))))</f>
        <v/>
      </c>
      <c r="O1456" s="17"/>
    </row>
    <row r="1457" spans="1:15" x14ac:dyDescent="0.3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8"/>
      <c r="L1457" s="16"/>
      <c r="M1457" s="16"/>
      <c r="N1457" s="19" t="str">
        <f>IF(A1457="","",IF(K1457="",IFERROR(INDEX(Products!$S$3:$S$302,MATCH(A1457,Products!$A$3:$A$302,0)),"Product not found"),K1457-IF(L1457="Percentage",ROUND(K1457*N(M1457)/100,2),IF(L1457="Fixed amount",N(M1457),0))))</f>
        <v/>
      </c>
      <c r="O1457" s="17"/>
    </row>
    <row r="1458" spans="1:15" x14ac:dyDescent="0.3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8"/>
      <c r="L1458" s="16"/>
      <c r="M1458" s="16"/>
      <c r="N1458" s="19" t="str">
        <f>IF(A1458="","",IF(K1458="",IFERROR(INDEX(Products!$S$3:$S$302,MATCH(A1458,Products!$A$3:$A$302,0)),"Product not found"),K1458-IF(L1458="Percentage",ROUND(K1458*N(M1458)/100,2),IF(L1458="Fixed amount",N(M1458),0))))</f>
        <v/>
      </c>
      <c r="O1458" s="17"/>
    </row>
    <row r="1459" spans="1:15" x14ac:dyDescent="0.3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8"/>
      <c r="L1459" s="16"/>
      <c r="M1459" s="16"/>
      <c r="N1459" s="19" t="str">
        <f>IF(A1459="","",IF(K1459="",IFERROR(INDEX(Products!$S$3:$S$302,MATCH(A1459,Products!$A$3:$A$302,0)),"Product not found"),K1459-IF(L1459="Percentage",ROUND(K1459*N(M1459)/100,2),IF(L1459="Fixed amount",N(M1459),0))))</f>
        <v/>
      </c>
      <c r="O1459" s="17"/>
    </row>
    <row r="1460" spans="1:15" x14ac:dyDescent="0.3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8"/>
      <c r="L1460" s="16"/>
      <c r="M1460" s="16"/>
      <c r="N1460" s="19" t="str">
        <f>IF(A1460="","",IF(K1460="",IFERROR(INDEX(Products!$S$3:$S$302,MATCH(A1460,Products!$A$3:$A$302,0)),"Product not found"),K1460-IF(L1460="Percentage",ROUND(K1460*N(M1460)/100,2),IF(L1460="Fixed amount",N(M1460),0))))</f>
        <v/>
      </c>
      <c r="O1460" s="17"/>
    </row>
    <row r="1461" spans="1:15" x14ac:dyDescent="0.3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8"/>
      <c r="L1461" s="16"/>
      <c r="M1461" s="16"/>
      <c r="N1461" s="19" t="str">
        <f>IF(A1461="","",IF(K1461="",IFERROR(INDEX(Products!$S$3:$S$302,MATCH(A1461,Products!$A$3:$A$302,0)),"Product not found"),K1461-IF(L1461="Percentage",ROUND(K1461*N(M1461)/100,2),IF(L1461="Fixed amount",N(M1461),0))))</f>
        <v/>
      </c>
      <c r="O1461" s="17"/>
    </row>
    <row r="1462" spans="1:15" x14ac:dyDescent="0.3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8"/>
      <c r="L1462" s="16"/>
      <c r="M1462" s="16"/>
      <c r="N1462" s="19" t="str">
        <f>IF(A1462="","",IF(K1462="",IFERROR(INDEX(Products!$S$3:$S$302,MATCH(A1462,Products!$A$3:$A$302,0)),"Product not found"),K1462-IF(L1462="Percentage",ROUND(K1462*N(M1462)/100,2),IF(L1462="Fixed amount",N(M1462),0))))</f>
        <v/>
      </c>
      <c r="O1462" s="17"/>
    </row>
    <row r="1463" spans="1:15" x14ac:dyDescent="0.3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8"/>
      <c r="L1463" s="16"/>
      <c r="M1463" s="16"/>
      <c r="N1463" s="19" t="str">
        <f>IF(A1463="","",IF(K1463="",IFERROR(INDEX(Products!$S$3:$S$302,MATCH(A1463,Products!$A$3:$A$302,0)),"Product not found"),K1463-IF(L1463="Percentage",ROUND(K1463*N(M1463)/100,2),IF(L1463="Fixed amount",N(M1463),0))))</f>
        <v/>
      </c>
      <c r="O1463" s="17"/>
    </row>
    <row r="1464" spans="1:15" x14ac:dyDescent="0.3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8"/>
      <c r="L1464" s="16"/>
      <c r="M1464" s="16"/>
      <c r="N1464" s="19" t="str">
        <f>IF(A1464="","",IF(K1464="",IFERROR(INDEX(Products!$S$3:$S$302,MATCH(A1464,Products!$A$3:$A$302,0)),"Product not found"),K1464-IF(L1464="Percentage",ROUND(K1464*N(M1464)/100,2),IF(L1464="Fixed amount",N(M1464),0))))</f>
        <v/>
      </c>
      <c r="O1464" s="17"/>
    </row>
    <row r="1465" spans="1:15" x14ac:dyDescent="0.3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8"/>
      <c r="L1465" s="16"/>
      <c r="M1465" s="16"/>
      <c r="N1465" s="19" t="str">
        <f>IF(A1465="","",IF(K1465="",IFERROR(INDEX(Products!$S$3:$S$302,MATCH(A1465,Products!$A$3:$A$302,0)),"Product not found"),K1465-IF(L1465="Percentage",ROUND(K1465*N(M1465)/100,2),IF(L1465="Fixed amount",N(M1465),0))))</f>
        <v/>
      </c>
      <c r="O1465" s="17"/>
    </row>
    <row r="1466" spans="1:15" x14ac:dyDescent="0.3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8"/>
      <c r="L1466" s="16"/>
      <c r="M1466" s="16"/>
      <c r="N1466" s="19" t="str">
        <f>IF(A1466="","",IF(K1466="",IFERROR(INDEX(Products!$S$3:$S$302,MATCH(A1466,Products!$A$3:$A$302,0)),"Product not found"),K1466-IF(L1466="Percentage",ROUND(K1466*N(M1466)/100,2),IF(L1466="Fixed amount",N(M1466),0))))</f>
        <v/>
      </c>
      <c r="O1466" s="17"/>
    </row>
    <row r="1467" spans="1:15" x14ac:dyDescent="0.3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8"/>
      <c r="L1467" s="16"/>
      <c r="M1467" s="16"/>
      <c r="N1467" s="19" t="str">
        <f>IF(A1467="","",IF(K1467="",IFERROR(INDEX(Products!$S$3:$S$302,MATCH(A1467,Products!$A$3:$A$302,0)),"Product not found"),K1467-IF(L1467="Percentage",ROUND(K1467*N(M1467)/100,2),IF(L1467="Fixed amount",N(M1467),0))))</f>
        <v/>
      </c>
      <c r="O1467" s="17"/>
    </row>
    <row r="1468" spans="1:15" x14ac:dyDescent="0.3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8"/>
      <c r="L1468" s="16"/>
      <c r="M1468" s="16"/>
      <c r="N1468" s="19" t="str">
        <f>IF(A1468="","",IF(K1468="",IFERROR(INDEX(Products!$S$3:$S$302,MATCH(A1468,Products!$A$3:$A$302,0)),"Product not found"),K1468-IF(L1468="Percentage",ROUND(K1468*N(M1468)/100,2),IF(L1468="Fixed amount",N(M1468),0))))</f>
        <v/>
      </c>
      <c r="O1468" s="17"/>
    </row>
    <row r="1469" spans="1:15" x14ac:dyDescent="0.3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8"/>
      <c r="L1469" s="16"/>
      <c r="M1469" s="16"/>
      <c r="N1469" s="19" t="str">
        <f>IF(A1469="","",IF(K1469="",IFERROR(INDEX(Products!$S$3:$S$302,MATCH(A1469,Products!$A$3:$A$302,0)),"Product not found"),K1469-IF(L1469="Percentage",ROUND(K1469*N(M1469)/100,2),IF(L1469="Fixed amount",N(M1469),0))))</f>
        <v/>
      </c>
      <c r="O1469" s="17"/>
    </row>
    <row r="1470" spans="1:15" x14ac:dyDescent="0.3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8"/>
      <c r="L1470" s="16"/>
      <c r="M1470" s="16"/>
      <c r="N1470" s="19" t="str">
        <f>IF(A1470="","",IF(K1470="",IFERROR(INDEX(Products!$S$3:$S$302,MATCH(A1470,Products!$A$3:$A$302,0)),"Product not found"),K1470-IF(L1470="Percentage",ROUND(K1470*N(M1470)/100,2),IF(L1470="Fixed amount",N(M1470),0))))</f>
        <v/>
      </c>
      <c r="O1470" s="17"/>
    </row>
    <row r="1471" spans="1:15" x14ac:dyDescent="0.3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8"/>
      <c r="L1471" s="16"/>
      <c r="M1471" s="16"/>
      <c r="N1471" s="19" t="str">
        <f>IF(A1471="","",IF(K1471="",IFERROR(INDEX(Products!$S$3:$S$302,MATCH(A1471,Products!$A$3:$A$302,0)),"Product not found"),K1471-IF(L1471="Percentage",ROUND(K1471*N(M1471)/100,2),IF(L1471="Fixed amount",N(M1471),0))))</f>
        <v/>
      </c>
      <c r="O1471" s="17"/>
    </row>
    <row r="1472" spans="1:15" x14ac:dyDescent="0.3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8"/>
      <c r="L1472" s="16"/>
      <c r="M1472" s="16"/>
      <c r="N1472" s="19" t="str">
        <f>IF(A1472="","",IF(K1472="",IFERROR(INDEX(Products!$S$3:$S$302,MATCH(A1472,Products!$A$3:$A$302,0)),"Product not found"),K1472-IF(L1472="Percentage",ROUND(K1472*N(M1472)/100,2),IF(L1472="Fixed amount",N(M1472),0))))</f>
        <v/>
      </c>
      <c r="O1472" s="17"/>
    </row>
    <row r="1473" spans="1:15" x14ac:dyDescent="0.3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8"/>
      <c r="L1473" s="16"/>
      <c r="M1473" s="16"/>
      <c r="N1473" s="19" t="str">
        <f>IF(A1473="","",IF(K1473="",IFERROR(INDEX(Products!$S$3:$S$302,MATCH(A1473,Products!$A$3:$A$302,0)),"Product not found"),K1473-IF(L1473="Percentage",ROUND(K1473*N(M1473)/100,2),IF(L1473="Fixed amount",N(M1473),0))))</f>
        <v/>
      </c>
      <c r="O1473" s="17"/>
    </row>
    <row r="1474" spans="1:15" x14ac:dyDescent="0.3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8"/>
      <c r="L1474" s="16"/>
      <c r="M1474" s="16"/>
      <c r="N1474" s="19" t="str">
        <f>IF(A1474="","",IF(K1474="",IFERROR(INDEX(Products!$S$3:$S$302,MATCH(A1474,Products!$A$3:$A$302,0)),"Product not found"),K1474-IF(L1474="Percentage",ROUND(K1474*N(M1474)/100,2),IF(L1474="Fixed amount",N(M1474),0))))</f>
        <v/>
      </c>
      <c r="O1474" s="17"/>
    </row>
    <row r="1475" spans="1:15" x14ac:dyDescent="0.3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8"/>
      <c r="L1475" s="16"/>
      <c r="M1475" s="16"/>
      <c r="N1475" s="19" t="str">
        <f>IF(A1475="","",IF(K1475="",IFERROR(INDEX(Products!$S$3:$S$302,MATCH(A1475,Products!$A$3:$A$302,0)),"Product not found"),K1475-IF(L1475="Percentage",ROUND(K1475*N(M1475)/100,2),IF(L1475="Fixed amount",N(M1475),0))))</f>
        <v/>
      </c>
      <c r="O1475" s="17"/>
    </row>
    <row r="1476" spans="1:15" x14ac:dyDescent="0.3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8"/>
      <c r="L1476" s="16"/>
      <c r="M1476" s="16"/>
      <c r="N1476" s="19" t="str">
        <f>IF(A1476="","",IF(K1476="",IFERROR(INDEX(Products!$S$3:$S$302,MATCH(A1476,Products!$A$3:$A$302,0)),"Product not found"),K1476-IF(L1476="Percentage",ROUND(K1476*N(M1476)/100,2),IF(L1476="Fixed amount",N(M1476),0))))</f>
        <v/>
      </c>
      <c r="O1476" s="17"/>
    </row>
    <row r="1477" spans="1:15" x14ac:dyDescent="0.3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8"/>
      <c r="L1477" s="16"/>
      <c r="M1477" s="16"/>
      <c r="N1477" s="19" t="str">
        <f>IF(A1477="","",IF(K1477="",IFERROR(INDEX(Products!$S$3:$S$302,MATCH(A1477,Products!$A$3:$A$302,0)),"Product not found"),K1477-IF(L1477="Percentage",ROUND(K1477*N(M1477)/100,2),IF(L1477="Fixed amount",N(M1477),0))))</f>
        <v/>
      </c>
      <c r="O1477" s="17"/>
    </row>
    <row r="1478" spans="1:15" x14ac:dyDescent="0.3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8"/>
      <c r="L1478" s="16"/>
      <c r="M1478" s="16"/>
      <c r="N1478" s="19" t="str">
        <f>IF(A1478="","",IF(K1478="",IFERROR(INDEX(Products!$S$3:$S$302,MATCH(A1478,Products!$A$3:$A$302,0)),"Product not found"),K1478-IF(L1478="Percentage",ROUND(K1478*N(M1478)/100,2),IF(L1478="Fixed amount",N(M1478),0))))</f>
        <v/>
      </c>
      <c r="O1478" s="17"/>
    </row>
    <row r="1479" spans="1:15" x14ac:dyDescent="0.3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8"/>
      <c r="L1479" s="16"/>
      <c r="M1479" s="16"/>
      <c r="N1479" s="19" t="str">
        <f>IF(A1479="","",IF(K1479="",IFERROR(INDEX(Products!$S$3:$S$302,MATCH(A1479,Products!$A$3:$A$302,0)),"Product not found"),K1479-IF(L1479="Percentage",ROUND(K1479*N(M1479)/100,2),IF(L1479="Fixed amount",N(M1479),0))))</f>
        <v/>
      </c>
      <c r="O1479" s="17"/>
    </row>
    <row r="1480" spans="1:15" x14ac:dyDescent="0.3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8"/>
      <c r="L1480" s="16"/>
      <c r="M1480" s="16"/>
      <c r="N1480" s="19" t="str">
        <f>IF(A1480="","",IF(K1480="",IFERROR(INDEX(Products!$S$3:$S$302,MATCH(A1480,Products!$A$3:$A$302,0)),"Product not found"),K1480-IF(L1480="Percentage",ROUND(K1480*N(M1480)/100,2),IF(L1480="Fixed amount",N(M1480),0))))</f>
        <v/>
      </c>
      <c r="O1480" s="17"/>
    </row>
    <row r="1481" spans="1:15" x14ac:dyDescent="0.3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8"/>
      <c r="L1481" s="16"/>
      <c r="M1481" s="16"/>
      <c r="N1481" s="19" t="str">
        <f>IF(A1481="","",IF(K1481="",IFERROR(INDEX(Products!$S$3:$S$302,MATCH(A1481,Products!$A$3:$A$302,0)),"Product not found"),K1481-IF(L1481="Percentage",ROUND(K1481*N(M1481)/100,2),IF(L1481="Fixed amount",N(M1481),0))))</f>
        <v/>
      </c>
      <c r="O1481" s="17"/>
    </row>
    <row r="1482" spans="1:15" x14ac:dyDescent="0.3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8"/>
      <c r="L1482" s="16"/>
      <c r="M1482" s="16"/>
      <c r="N1482" s="19" t="str">
        <f>IF(A1482="","",IF(K1482="",IFERROR(INDEX(Products!$S$3:$S$302,MATCH(A1482,Products!$A$3:$A$302,0)),"Product not found"),K1482-IF(L1482="Percentage",ROUND(K1482*N(M1482)/100,2),IF(L1482="Fixed amount",N(M1482),0))))</f>
        <v/>
      </c>
      <c r="O1482" s="17"/>
    </row>
    <row r="1483" spans="1:15" x14ac:dyDescent="0.3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8"/>
      <c r="L1483" s="16"/>
      <c r="M1483" s="16"/>
      <c r="N1483" s="19" t="str">
        <f>IF(A1483="","",IF(K1483="",IFERROR(INDEX(Products!$S$3:$S$302,MATCH(A1483,Products!$A$3:$A$302,0)),"Product not found"),K1483-IF(L1483="Percentage",ROUND(K1483*N(M1483)/100,2),IF(L1483="Fixed amount",N(M1483),0))))</f>
        <v/>
      </c>
      <c r="O1483" s="17"/>
    </row>
    <row r="1484" spans="1:15" x14ac:dyDescent="0.3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8"/>
      <c r="L1484" s="16"/>
      <c r="M1484" s="16"/>
      <c r="N1484" s="19" t="str">
        <f>IF(A1484="","",IF(K1484="",IFERROR(INDEX(Products!$S$3:$S$302,MATCH(A1484,Products!$A$3:$A$302,0)),"Product not found"),K1484-IF(L1484="Percentage",ROUND(K1484*N(M1484)/100,2),IF(L1484="Fixed amount",N(M1484),0))))</f>
        <v/>
      </c>
      <c r="O1484" s="17"/>
    </row>
    <row r="1485" spans="1:15" x14ac:dyDescent="0.3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8"/>
      <c r="L1485" s="16"/>
      <c r="M1485" s="16"/>
      <c r="N1485" s="19" t="str">
        <f>IF(A1485="","",IF(K1485="",IFERROR(INDEX(Products!$S$3:$S$302,MATCH(A1485,Products!$A$3:$A$302,0)),"Product not found"),K1485-IF(L1485="Percentage",ROUND(K1485*N(M1485)/100,2),IF(L1485="Fixed amount",N(M1485),0))))</f>
        <v/>
      </c>
      <c r="O1485" s="17"/>
    </row>
    <row r="1486" spans="1:15" x14ac:dyDescent="0.3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8"/>
      <c r="L1486" s="16"/>
      <c r="M1486" s="16"/>
      <c r="N1486" s="19" t="str">
        <f>IF(A1486="","",IF(K1486="",IFERROR(INDEX(Products!$S$3:$S$302,MATCH(A1486,Products!$A$3:$A$302,0)),"Product not found"),K1486-IF(L1486="Percentage",ROUND(K1486*N(M1486)/100,2),IF(L1486="Fixed amount",N(M1486),0))))</f>
        <v/>
      </c>
      <c r="O1486" s="17"/>
    </row>
    <row r="1487" spans="1:15" x14ac:dyDescent="0.3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8"/>
      <c r="L1487" s="16"/>
      <c r="M1487" s="16"/>
      <c r="N1487" s="19" t="str">
        <f>IF(A1487="","",IF(K1487="",IFERROR(INDEX(Products!$S$3:$S$302,MATCH(A1487,Products!$A$3:$A$302,0)),"Product not found"),K1487-IF(L1487="Percentage",ROUND(K1487*N(M1487)/100,2),IF(L1487="Fixed amount",N(M1487),0))))</f>
        <v/>
      </c>
      <c r="O1487" s="17"/>
    </row>
    <row r="1488" spans="1:15" x14ac:dyDescent="0.3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8"/>
      <c r="L1488" s="16"/>
      <c r="M1488" s="16"/>
      <c r="N1488" s="19" t="str">
        <f>IF(A1488="","",IF(K1488="",IFERROR(INDEX(Products!$S$3:$S$302,MATCH(A1488,Products!$A$3:$A$302,0)),"Product not found"),K1488-IF(L1488="Percentage",ROUND(K1488*N(M1488)/100,2),IF(L1488="Fixed amount",N(M1488),0))))</f>
        <v/>
      </c>
      <c r="O1488" s="17"/>
    </row>
    <row r="1489" spans="1:15" x14ac:dyDescent="0.3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8"/>
      <c r="L1489" s="16"/>
      <c r="M1489" s="16"/>
      <c r="N1489" s="19" t="str">
        <f>IF(A1489="","",IF(K1489="",IFERROR(INDEX(Products!$S$3:$S$302,MATCH(A1489,Products!$A$3:$A$302,0)),"Product not found"),K1489-IF(L1489="Percentage",ROUND(K1489*N(M1489)/100,2),IF(L1489="Fixed amount",N(M1489),0))))</f>
        <v/>
      </c>
      <c r="O1489" s="17"/>
    </row>
    <row r="1490" spans="1:15" x14ac:dyDescent="0.3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8"/>
      <c r="L1490" s="16"/>
      <c r="M1490" s="16"/>
      <c r="N1490" s="19" t="str">
        <f>IF(A1490="","",IF(K1490="",IFERROR(INDEX(Products!$S$3:$S$302,MATCH(A1490,Products!$A$3:$A$302,0)),"Product not found"),K1490-IF(L1490="Percentage",ROUND(K1490*N(M1490)/100,2),IF(L1490="Fixed amount",N(M1490),0))))</f>
        <v/>
      </c>
      <c r="O1490" s="17"/>
    </row>
    <row r="1491" spans="1:15" x14ac:dyDescent="0.3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8"/>
      <c r="L1491" s="16"/>
      <c r="M1491" s="16"/>
      <c r="N1491" s="19" t="str">
        <f>IF(A1491="","",IF(K1491="",IFERROR(INDEX(Products!$S$3:$S$302,MATCH(A1491,Products!$A$3:$A$302,0)),"Product not found"),K1491-IF(L1491="Percentage",ROUND(K1491*N(M1491)/100,2),IF(L1491="Fixed amount",N(M1491),0))))</f>
        <v/>
      </c>
      <c r="O1491" s="17"/>
    </row>
    <row r="1492" spans="1:15" x14ac:dyDescent="0.3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8"/>
      <c r="L1492" s="16"/>
      <c r="M1492" s="16"/>
      <c r="N1492" s="19" t="str">
        <f>IF(A1492="","",IF(K1492="",IFERROR(INDEX(Products!$S$3:$S$302,MATCH(A1492,Products!$A$3:$A$302,0)),"Product not found"),K1492-IF(L1492="Percentage",ROUND(K1492*N(M1492)/100,2),IF(L1492="Fixed amount",N(M1492),0))))</f>
        <v/>
      </c>
      <c r="O1492" s="17"/>
    </row>
    <row r="1493" spans="1:15" x14ac:dyDescent="0.3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8"/>
      <c r="L1493" s="16"/>
      <c r="M1493" s="16"/>
      <c r="N1493" s="19" t="str">
        <f>IF(A1493="","",IF(K1493="",IFERROR(INDEX(Products!$S$3:$S$302,MATCH(A1493,Products!$A$3:$A$302,0)),"Product not found"),K1493-IF(L1493="Percentage",ROUND(K1493*N(M1493)/100,2),IF(L1493="Fixed amount",N(M1493),0))))</f>
        <v/>
      </c>
      <c r="O1493" s="17"/>
    </row>
    <row r="1494" spans="1:15" x14ac:dyDescent="0.3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8"/>
      <c r="L1494" s="16"/>
      <c r="M1494" s="16"/>
      <c r="N1494" s="19" t="str">
        <f>IF(A1494="","",IF(K1494="",IFERROR(INDEX(Products!$S$3:$S$302,MATCH(A1494,Products!$A$3:$A$302,0)),"Product not found"),K1494-IF(L1494="Percentage",ROUND(K1494*N(M1494)/100,2),IF(L1494="Fixed amount",N(M1494),0))))</f>
        <v/>
      </c>
      <c r="O1494" s="17"/>
    </row>
    <row r="1495" spans="1:15" x14ac:dyDescent="0.3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8"/>
      <c r="L1495" s="16"/>
      <c r="M1495" s="16"/>
      <c r="N1495" s="19" t="str">
        <f>IF(A1495="","",IF(K1495="",IFERROR(INDEX(Products!$S$3:$S$302,MATCH(A1495,Products!$A$3:$A$302,0)),"Product not found"),K1495-IF(L1495="Percentage",ROUND(K1495*N(M1495)/100,2),IF(L1495="Fixed amount",N(M1495),0))))</f>
        <v/>
      </c>
      <c r="O1495" s="17"/>
    </row>
    <row r="1496" spans="1:15" x14ac:dyDescent="0.3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8"/>
      <c r="L1496" s="16"/>
      <c r="M1496" s="16"/>
      <c r="N1496" s="19" t="str">
        <f>IF(A1496="","",IF(K1496="",IFERROR(INDEX(Products!$S$3:$S$302,MATCH(A1496,Products!$A$3:$A$302,0)),"Product not found"),K1496-IF(L1496="Percentage",ROUND(K1496*N(M1496)/100,2),IF(L1496="Fixed amount",N(M1496),0))))</f>
        <v/>
      </c>
      <c r="O1496" s="17"/>
    </row>
    <row r="1497" spans="1:15" x14ac:dyDescent="0.3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8"/>
      <c r="L1497" s="16"/>
      <c r="M1497" s="16"/>
      <c r="N1497" s="19" t="str">
        <f>IF(A1497="","",IF(K1497="",IFERROR(INDEX(Products!$S$3:$S$302,MATCH(A1497,Products!$A$3:$A$302,0)),"Product not found"),K1497-IF(L1497="Percentage",ROUND(K1497*N(M1497)/100,2),IF(L1497="Fixed amount",N(M1497),0))))</f>
        <v/>
      </c>
      <c r="O1497" s="17"/>
    </row>
    <row r="1498" spans="1:15" x14ac:dyDescent="0.3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8"/>
      <c r="L1498" s="16"/>
      <c r="M1498" s="16"/>
      <c r="N1498" s="19" t="str">
        <f>IF(A1498="","",IF(K1498="",IFERROR(INDEX(Products!$S$3:$S$302,MATCH(A1498,Products!$A$3:$A$302,0)),"Product not found"),K1498-IF(L1498="Percentage",ROUND(K1498*N(M1498)/100,2),IF(L1498="Fixed amount",N(M1498),0))))</f>
        <v/>
      </c>
      <c r="O1498" s="17"/>
    </row>
    <row r="1499" spans="1:15" x14ac:dyDescent="0.3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8"/>
      <c r="L1499" s="16"/>
      <c r="M1499" s="16"/>
      <c r="N1499" s="19" t="str">
        <f>IF(A1499="","",IF(K1499="",IFERROR(INDEX(Products!$S$3:$S$302,MATCH(A1499,Products!$A$3:$A$302,0)),"Product not found"),K1499-IF(L1499="Percentage",ROUND(K1499*N(M1499)/100,2),IF(L1499="Fixed amount",N(M1499),0))))</f>
        <v/>
      </c>
      <c r="O1499" s="17"/>
    </row>
    <row r="1500" spans="1:15" x14ac:dyDescent="0.3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8"/>
      <c r="L1500" s="16"/>
      <c r="M1500" s="16"/>
      <c r="N1500" s="19" t="str">
        <f>IF(A1500="","",IF(K1500="",IFERROR(INDEX(Products!$S$3:$S$302,MATCH(A1500,Products!$A$3:$A$302,0)),"Product not found"),K1500-IF(L1500="Percentage",ROUND(K1500*N(M1500)/100,2),IF(L1500="Fixed amount",N(M1500),0))))</f>
        <v/>
      </c>
      <c r="O1500" s="17"/>
    </row>
    <row r="1501" spans="1:15" x14ac:dyDescent="0.3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8"/>
      <c r="L1501" s="16"/>
      <c r="M1501" s="16"/>
      <c r="N1501" s="19" t="str">
        <f>IF(A1501="","",IF(K1501="",IFERROR(INDEX(Products!$S$3:$S$302,MATCH(A1501,Products!$A$3:$A$302,0)),"Product not found"),K1501-IF(L1501="Percentage",ROUND(K1501*N(M1501)/100,2),IF(L1501="Fixed amount",N(M1501),0))))</f>
        <v/>
      </c>
      <c r="O1501" s="17"/>
    </row>
    <row r="1502" spans="1:15" x14ac:dyDescent="0.3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8"/>
      <c r="L1502" s="16"/>
      <c r="M1502" s="16"/>
      <c r="N1502" s="19" t="str">
        <f>IF(A1502="","",IF(K1502="",IFERROR(INDEX(Products!$S$3:$S$302,MATCH(A1502,Products!$A$3:$A$302,0)),"Product not found"),K1502-IF(L1502="Percentage",ROUND(K1502*N(M1502)/100,2),IF(L1502="Fixed amount",N(M1502),0))))</f>
        <v/>
      </c>
      <c r="O1502" s="17"/>
    </row>
  </sheetData>
  <mergeCells count="3">
    <mergeCell ref="H1:J1"/>
    <mergeCell ref="A1:G1"/>
    <mergeCell ref="K1:N1"/>
  </mergeCells>
  <dataValidations count="5">
    <dataValidation type="whole" operator="greaterThanOrEqual" allowBlank="1" showErrorMessage="1" errorTitle="Stock" error="Enter a whole number (0 or more)." sqref="H3:H1502" xr:uid="{00000000-0002-0000-0200-000002000000}">
      <formula1>0</formula1>
    </dataValidation>
    <dataValidation type="whole" operator="greaterThanOrEqual" allowBlank="1" showErrorMessage="1" errorTitle="Low-stock Alert At" error="Enter a whole number (0 or more)." sqref="I3:I1502" xr:uid="{00000000-0002-0000-0200-000003000000}">
      <formula1>0</formula1>
    </dataValidation>
    <dataValidation type="decimal" operator="greaterThanOrEqual" allowBlank="1" showErrorMessage="1" errorTitle="Price Override (₹)" error="Enter a number (0 or more), no ₹ sign." sqref="K3:K1502" xr:uid="{00000000-0002-0000-0200-000004000000}">
      <formula1>0</formula1>
    </dataValidation>
    <dataValidation type="decimal" operator="greaterThanOrEqual" allowBlank="1" showErrorMessage="1" errorTitle="Variant Discount Value" error="Enter a number (0 or more), no ₹ sign." sqref="M3:M1502" xr:uid="{00000000-0002-0000-0200-000005000000}">
      <formula1>0</formula1>
    </dataValidation>
    <dataValidation type="custom" allowBlank="1" showErrorMessage="1" errorTitle="SKU" error="This SKU is already used on another row." sqref="B3:B1502" xr:uid="{00000000-0002-0000-0200-000007000000}">
      <formula1>COUNTIF($B$3:$B$1502,B3)=1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riant Discount Type" error="Please pick a value from the list." xr:uid="{00000000-0002-0000-0200-000000000000}">
          <x14:formula1>
            <xm:f>Lists!$E$2:$E$4</xm:f>
          </x14:formula1>
          <xm:sqref>L3:L1502</xm:sqref>
        </x14:dataValidation>
        <x14:dataValidation type="list" allowBlank="1" showErrorMessage="1" errorTitle="Available" error="Please pick a value from the list." xr:uid="{00000000-0002-0000-0200-000001000000}">
          <x14:formula1>
            <xm:f>Lists!$G$2:$G$3</xm:f>
          </x14:formula1>
          <xm:sqref>J3:J1502</xm:sqref>
        </x14:dataValidation>
        <x14:dataValidation type="list" allowBlank="1" showErrorMessage="1" errorTitle="Product Name" error="Type the product on the Products sheet first, then pick it here." xr:uid="{00000000-0002-0000-0200-000006000000}">
          <x14:formula1>
            <xm:f>Products!$A$3:$A$302</xm:f>
          </x14:formula1>
          <xm:sqref>A3:A1502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4.4" x14ac:dyDescent="0.3"/>
  <cols>
    <col min="1" max="8" width="18" customWidth="1"/>
  </cols>
  <sheetData>
    <row r="1" spans="1:10" x14ac:dyDescent="0.3">
      <c r="A1" s="22" t="s">
        <v>104</v>
      </c>
      <c r="B1" s="22" t="s">
        <v>64</v>
      </c>
      <c r="C1" s="22" t="s">
        <v>65</v>
      </c>
      <c r="D1" s="22" t="s">
        <v>66</v>
      </c>
      <c r="E1" s="22" t="s">
        <v>74</v>
      </c>
      <c r="F1" s="22" t="s">
        <v>80</v>
      </c>
      <c r="G1" s="22" t="s">
        <v>105</v>
      </c>
      <c r="H1" s="22" t="s">
        <v>85</v>
      </c>
      <c r="J1" s="23" t="s">
        <v>106</v>
      </c>
    </row>
    <row r="2" spans="1:10" x14ac:dyDescent="0.3">
      <c r="A2" s="24" t="s">
        <v>107</v>
      </c>
      <c r="B2" s="25" t="s">
        <v>108</v>
      </c>
      <c r="C2" s="25" t="s">
        <v>109</v>
      </c>
      <c r="D2" s="25" t="s">
        <v>110</v>
      </c>
      <c r="E2" s="25" t="s">
        <v>111</v>
      </c>
      <c r="F2" s="25" t="s">
        <v>112</v>
      </c>
      <c r="G2" s="25" t="s">
        <v>113</v>
      </c>
      <c r="H2" s="25" t="s">
        <v>114</v>
      </c>
    </row>
    <row r="3" spans="1:10" x14ac:dyDescent="0.3">
      <c r="A3" s="24" t="s">
        <v>115</v>
      </c>
      <c r="B3" s="25" t="s">
        <v>116</v>
      </c>
      <c r="C3" s="25" t="s">
        <v>117</v>
      </c>
      <c r="D3" s="25" t="s">
        <v>118</v>
      </c>
      <c r="E3" s="25" t="s">
        <v>119</v>
      </c>
      <c r="F3" s="25" t="s">
        <v>120</v>
      </c>
      <c r="G3" s="25" t="s">
        <v>121</v>
      </c>
      <c r="H3" s="25" t="s">
        <v>122</v>
      </c>
    </row>
    <row r="4" spans="1:10" x14ac:dyDescent="0.3">
      <c r="A4" s="24" t="s">
        <v>123</v>
      </c>
      <c r="B4" s="25" t="s">
        <v>124</v>
      </c>
      <c r="C4" s="25" t="s">
        <v>125</v>
      </c>
      <c r="D4" s="25" t="s">
        <v>126</v>
      </c>
      <c r="E4" s="25" t="s">
        <v>127</v>
      </c>
      <c r="F4" s="25" t="s">
        <v>83</v>
      </c>
      <c r="H4" s="25" t="s">
        <v>128</v>
      </c>
    </row>
    <row r="5" spans="1:10" x14ac:dyDescent="0.3">
      <c r="A5" s="24" t="s">
        <v>129</v>
      </c>
      <c r="C5" s="25" t="s">
        <v>130</v>
      </c>
      <c r="D5" s="25" t="s">
        <v>131</v>
      </c>
      <c r="F5" s="25" t="s">
        <v>82</v>
      </c>
      <c r="H5" s="25" t="s">
        <v>132</v>
      </c>
    </row>
    <row r="6" spans="1:10" x14ac:dyDescent="0.3">
      <c r="A6" s="24" t="s">
        <v>133</v>
      </c>
      <c r="C6" s="25" t="s">
        <v>134</v>
      </c>
      <c r="D6" s="25" t="s">
        <v>135</v>
      </c>
      <c r="F6" s="25" t="s">
        <v>136</v>
      </c>
    </row>
    <row r="7" spans="1:10" x14ac:dyDescent="0.3">
      <c r="C7" s="25" t="s">
        <v>137</v>
      </c>
      <c r="D7" s="25" t="s">
        <v>138</v>
      </c>
      <c r="F7" s="25" t="s">
        <v>139</v>
      </c>
    </row>
    <row r="8" spans="1:10" x14ac:dyDescent="0.3">
      <c r="C8" s="25" t="s">
        <v>140</v>
      </c>
      <c r="D8" s="25" t="s">
        <v>141</v>
      </c>
    </row>
    <row r="9" spans="1:10" x14ac:dyDescent="0.3">
      <c r="D9" s="25" t="s">
        <v>142</v>
      </c>
    </row>
    <row r="10" spans="1:10" x14ac:dyDescent="0.3">
      <c r="D10" s="25" t="s">
        <v>143</v>
      </c>
    </row>
    <row r="11" spans="1:10" x14ac:dyDescent="0.3">
      <c r="D11" s="25" t="s">
        <v>144</v>
      </c>
    </row>
    <row r="12" spans="1:10" x14ac:dyDescent="0.3">
      <c r="D12" s="25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2"/>
  <sheetViews>
    <sheetView showGridLines="0" workbookViewId="0">
      <pane xSplit="1" topLeftCell="B1" activePane="topRight" state="frozen"/>
      <selection pane="topRight"/>
    </sheetView>
  </sheetViews>
  <sheetFormatPr defaultRowHeight="14.4" x14ac:dyDescent="0.3"/>
  <cols>
    <col min="1" max="1" width="34" customWidth="1"/>
    <col min="2" max="3" width="18" customWidth="1"/>
    <col min="4" max="4" width="36" customWidth="1"/>
    <col min="5" max="5" width="50" customWidth="1"/>
    <col min="6" max="6" width="16" customWidth="1"/>
    <col min="7" max="7" width="15" customWidth="1"/>
    <col min="8" max="8" width="16" customWidth="1"/>
    <col min="9" max="9" width="18" customWidth="1"/>
    <col min="10" max="10" width="11" customWidth="1"/>
    <col min="11" max="11" width="15" customWidth="1"/>
    <col min="12" max="14" width="34" customWidth="1"/>
    <col min="15" max="16" width="15" customWidth="1"/>
    <col min="17" max="17" width="12" customWidth="1"/>
    <col min="18" max="18" width="13" customWidth="1"/>
    <col min="19" max="19" width="15" customWidth="1"/>
    <col min="20" max="20" width="34" customWidth="1"/>
    <col min="21" max="21" width="20" customWidth="1"/>
    <col min="22" max="22" width="12" customWidth="1"/>
    <col min="23" max="24" width="10" customWidth="1"/>
    <col min="25" max="26" width="11" customWidth="1"/>
    <col min="27" max="27" width="12" customWidth="1"/>
    <col min="28" max="28" width="10" customWidth="1"/>
    <col min="29" max="29" width="34" customWidth="1"/>
  </cols>
  <sheetData>
    <row r="1" spans="1:29" x14ac:dyDescent="0.3">
      <c r="A1" s="26" t="s">
        <v>145</v>
      </c>
    </row>
    <row r="3" spans="1:29" ht="26.4" x14ac:dyDescent="0.3">
      <c r="A3" s="12" t="s">
        <v>146</v>
      </c>
      <c r="B3" s="12" t="s">
        <v>104</v>
      </c>
      <c r="C3" s="13" t="s">
        <v>61</v>
      </c>
      <c r="D3" s="14" t="s">
        <v>62</v>
      </c>
      <c r="E3" s="12" t="s">
        <v>147</v>
      </c>
      <c r="F3" s="14" t="s">
        <v>64</v>
      </c>
      <c r="G3" s="14" t="s">
        <v>65</v>
      </c>
      <c r="H3" s="14" t="s">
        <v>66</v>
      </c>
      <c r="I3" s="13" t="s">
        <v>67</v>
      </c>
      <c r="J3" s="13" t="s">
        <v>68</v>
      </c>
      <c r="K3" s="13" t="s">
        <v>69</v>
      </c>
      <c r="L3" s="14" t="s">
        <v>70</v>
      </c>
      <c r="M3" s="13" t="s">
        <v>71</v>
      </c>
      <c r="N3" s="14" t="s">
        <v>72</v>
      </c>
      <c r="O3" s="12" t="s">
        <v>148</v>
      </c>
      <c r="P3" s="13" t="s">
        <v>74</v>
      </c>
      <c r="Q3" s="13" t="s">
        <v>75</v>
      </c>
      <c r="R3" s="15" t="s">
        <v>76</v>
      </c>
      <c r="S3" s="15" t="s">
        <v>77</v>
      </c>
      <c r="T3" s="12" t="s">
        <v>149</v>
      </c>
      <c r="U3" s="13" t="s">
        <v>79</v>
      </c>
      <c r="V3" s="13" t="s">
        <v>80</v>
      </c>
      <c r="W3" s="13" t="s">
        <v>81</v>
      </c>
      <c r="X3" s="13" t="s">
        <v>82</v>
      </c>
      <c r="Y3" s="13" t="s">
        <v>83</v>
      </c>
      <c r="Z3" s="13" t="s">
        <v>84</v>
      </c>
      <c r="AA3" s="13" t="s">
        <v>85</v>
      </c>
      <c r="AB3" s="15" t="s">
        <v>5</v>
      </c>
      <c r="AC3" s="15" t="s">
        <v>86</v>
      </c>
    </row>
    <row r="4" spans="1:29" ht="75" customHeight="1" x14ac:dyDescent="0.3">
      <c r="A4" s="17" t="s">
        <v>150</v>
      </c>
      <c r="B4" s="17" t="s">
        <v>107</v>
      </c>
      <c r="C4" s="17" t="s">
        <v>151</v>
      </c>
      <c r="D4" s="17" t="s">
        <v>152</v>
      </c>
      <c r="E4" s="17" t="s">
        <v>153</v>
      </c>
      <c r="F4" s="17" t="s">
        <v>108</v>
      </c>
      <c r="G4" s="17" t="s">
        <v>117</v>
      </c>
      <c r="H4" s="17" t="s">
        <v>110</v>
      </c>
      <c r="I4" s="17" t="s">
        <v>154</v>
      </c>
      <c r="J4" s="17" t="s">
        <v>155</v>
      </c>
      <c r="K4" s="17" t="s">
        <v>156</v>
      </c>
      <c r="L4" s="17" t="s">
        <v>157</v>
      </c>
      <c r="M4" s="17" t="s">
        <v>158</v>
      </c>
      <c r="N4" s="17" t="s">
        <v>159</v>
      </c>
      <c r="O4" s="27">
        <v>25000</v>
      </c>
      <c r="P4" s="17" t="s">
        <v>119</v>
      </c>
      <c r="Q4" s="17">
        <v>10</v>
      </c>
      <c r="R4" s="28">
        <f>IF(O4="","",IF(P4="Percentage",ROUND(O4*N(Q4)/100,2),IF(P4="Fixed amount",N(Q4),0)))</f>
        <v>2500</v>
      </c>
      <c r="S4" s="28">
        <f>O4-R4</f>
        <v>22500</v>
      </c>
      <c r="T4" s="17" t="s">
        <v>160</v>
      </c>
      <c r="U4" s="17" t="s">
        <v>161</v>
      </c>
      <c r="V4" s="17" t="s">
        <v>83</v>
      </c>
      <c r="W4" s="17">
        <v>1</v>
      </c>
      <c r="X4" s="17" t="s">
        <v>113</v>
      </c>
      <c r="Y4" s="17" t="s">
        <v>113</v>
      </c>
      <c r="Z4" s="17" t="s">
        <v>121</v>
      </c>
      <c r="AA4" s="17" t="s">
        <v>114</v>
      </c>
      <c r="AB4" s="21">
        <f>COUNTIF($A$8:$A$10,A4)</f>
        <v>3</v>
      </c>
      <c r="AC4" s="21" t="str">
        <f>IF(AND(E4&lt;&gt;"",O4&lt;&gt;"",T4&lt;&gt;"",B4&lt;&gt;"",AB4&gt;0),"Ready","Missing something")</f>
        <v>Ready</v>
      </c>
    </row>
    <row r="6" spans="1:29" x14ac:dyDescent="0.3">
      <c r="A6" s="22" t="s">
        <v>162</v>
      </c>
    </row>
    <row r="7" spans="1:29" ht="26.4" x14ac:dyDescent="0.3">
      <c r="A7" s="12" t="s">
        <v>146</v>
      </c>
      <c r="B7" s="12" t="s">
        <v>163</v>
      </c>
      <c r="C7" s="14" t="s">
        <v>92</v>
      </c>
      <c r="D7" s="13" t="s">
        <v>93</v>
      </c>
      <c r="E7" s="14" t="s">
        <v>94</v>
      </c>
      <c r="F7" s="13" t="s">
        <v>95</v>
      </c>
      <c r="G7" s="13" t="s">
        <v>96</v>
      </c>
      <c r="H7" s="12" t="s">
        <v>164</v>
      </c>
      <c r="I7" s="13" t="s">
        <v>98</v>
      </c>
      <c r="J7" s="13" t="s">
        <v>99</v>
      </c>
      <c r="K7" s="13" t="s">
        <v>100</v>
      </c>
      <c r="L7" s="13" t="s">
        <v>101</v>
      </c>
      <c r="M7" s="13" t="s">
        <v>102</v>
      </c>
      <c r="N7" s="15" t="s">
        <v>77</v>
      </c>
      <c r="O7" s="13" t="s">
        <v>103</v>
      </c>
    </row>
    <row r="8" spans="1:29" x14ac:dyDescent="0.3">
      <c r="A8" s="29" t="s">
        <v>150</v>
      </c>
      <c r="B8" s="29" t="s">
        <v>165</v>
      </c>
      <c r="C8" s="29" t="s">
        <v>166</v>
      </c>
      <c r="D8" s="29" t="s">
        <v>167</v>
      </c>
      <c r="E8" s="29" t="s">
        <v>168</v>
      </c>
      <c r="F8" s="29" t="s">
        <v>169</v>
      </c>
      <c r="G8" s="29" t="s">
        <v>170</v>
      </c>
      <c r="H8" s="29">
        <v>12</v>
      </c>
      <c r="I8" s="29">
        <v>3</v>
      </c>
      <c r="J8" s="29" t="s">
        <v>113</v>
      </c>
      <c r="K8" s="30"/>
      <c r="L8" s="29"/>
      <c r="M8" s="29"/>
      <c r="N8" s="31">
        <f>IF(K8="",$S$4,K8-IF(L8="Percentage",ROUND(K8*N(M8)/100,2),IF(L8="Fixed amount",N(M8),0)))</f>
        <v>22500</v>
      </c>
      <c r="O8" s="29"/>
    </row>
    <row r="9" spans="1:29" x14ac:dyDescent="0.3">
      <c r="A9" s="29" t="s">
        <v>150</v>
      </c>
      <c r="B9" s="29" t="s">
        <v>171</v>
      </c>
      <c r="C9" s="29" t="s">
        <v>172</v>
      </c>
      <c r="D9" s="29" t="s">
        <v>167</v>
      </c>
      <c r="E9" s="29" t="s">
        <v>168</v>
      </c>
      <c r="F9" s="29" t="s">
        <v>169</v>
      </c>
      <c r="G9" s="29" t="s">
        <v>170</v>
      </c>
      <c r="H9" s="29">
        <v>6</v>
      </c>
      <c r="I9" s="29"/>
      <c r="J9" s="29" t="s">
        <v>113</v>
      </c>
      <c r="K9" s="30">
        <v>29000</v>
      </c>
      <c r="L9" s="29" t="s">
        <v>127</v>
      </c>
      <c r="M9" s="29">
        <v>2000</v>
      </c>
      <c r="N9" s="31">
        <f>IF(K9="",$S$4,K9-IF(L9="Percentage",ROUND(K9*N(M9)/100,2),IF(L9="Fixed amount",N(M9),0)))</f>
        <v>27000</v>
      </c>
      <c r="O9" s="29"/>
    </row>
    <row r="10" spans="1:29" x14ac:dyDescent="0.3">
      <c r="A10" s="29" t="s">
        <v>150</v>
      </c>
      <c r="B10" s="29" t="s">
        <v>173</v>
      </c>
      <c r="C10" s="29" t="s">
        <v>172</v>
      </c>
      <c r="D10" s="29" t="s">
        <v>174</v>
      </c>
      <c r="E10" s="29" t="s">
        <v>175</v>
      </c>
      <c r="F10" s="29" t="s">
        <v>169</v>
      </c>
      <c r="G10" s="29" t="s">
        <v>170</v>
      </c>
      <c r="H10" s="29">
        <v>0</v>
      </c>
      <c r="I10" s="29"/>
      <c r="J10" s="29" t="s">
        <v>121</v>
      </c>
      <c r="K10" s="30">
        <v>32000</v>
      </c>
      <c r="L10" s="29" t="s">
        <v>111</v>
      </c>
      <c r="M10" s="29"/>
      <c r="N10" s="31">
        <f>IF(K10="",$S$4,K10-IF(L10="Percentage",ROUND(K10*N(M10)/100,2),IF(L10="Fixed amount",N(M10),0)))</f>
        <v>32000</v>
      </c>
      <c r="O10" s="29" t="s">
        <v>176</v>
      </c>
    </row>
    <row r="12" spans="1:29" x14ac:dyDescent="0.3">
      <c r="A1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Products</vt:lpstr>
      <vt:lpstr>Variants</vt:lpstr>
      <vt:lpstr>Lists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Mudumbha Bhargavi</cp:lastModifiedBy>
  <dcterms:created xsi:type="dcterms:W3CDTF">2026-09-19T07:00:40Z</dcterms:created>
  <dcterms:modified xsi:type="dcterms:W3CDTF">2026-09-19T07:02:28Z</dcterms:modified>
</cp:coreProperties>
</file>